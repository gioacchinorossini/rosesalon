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emariedeasis/Documents/"/>
    </mc:Choice>
  </mc:AlternateContent>
  <xr:revisionPtr revIDLastSave="0" documentId="13_ncr:1_{035C02B6-9BC9-D94A-A031-DC9669ECB200}" xr6:coauthVersionLast="43" xr6:coauthVersionMax="43" xr10:uidLastSave="{00000000-0000-0000-0000-000000000000}"/>
  <bookViews>
    <workbookView xWindow="480" yWindow="1160" windowWidth="25040" windowHeight="14240" activeTab="3" xr2:uid="{7EF7CD94-E5EF-A944-9328-7E9A6B195461}"/>
  </bookViews>
  <sheets>
    <sheet name="JAN" sheetId="1" r:id="rId1"/>
    <sheet name="FEB" sheetId="3" r:id="rId2"/>
    <sheet name="MAR" sheetId="4" r:id="rId3"/>
    <sheet name="APR" sheetId="5" r:id="rId4"/>
    <sheet name="MAY" sheetId="6" r:id="rId5"/>
    <sheet name="JUN" sheetId="2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  <sheet name="2027 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36" i="13" l="1"/>
  <c r="T36" i="13"/>
  <c r="S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R35" i="13"/>
  <c r="R34" i="13"/>
  <c r="R33" i="13"/>
  <c r="U33" i="13" s="1"/>
  <c r="V33" i="13" s="1"/>
  <c r="R32" i="13"/>
  <c r="U32" i="13" s="1"/>
  <c r="V32" i="13" s="1"/>
  <c r="R31" i="13"/>
  <c r="U31" i="13" s="1"/>
  <c r="R30" i="13"/>
  <c r="U30" i="13" s="1"/>
  <c r="V30" i="13" s="1"/>
  <c r="R29" i="13"/>
  <c r="U29" i="13" s="1"/>
  <c r="V29" i="13" s="1"/>
  <c r="R28" i="13"/>
  <c r="R27" i="13"/>
  <c r="R26" i="13"/>
  <c r="R25" i="13"/>
  <c r="U25" i="13" s="1"/>
  <c r="V25" i="13" s="1"/>
  <c r="R24" i="13"/>
  <c r="U24" i="13" s="1"/>
  <c r="V24" i="13" s="1"/>
  <c r="R23" i="13"/>
  <c r="R22" i="13"/>
  <c r="U22" i="13" s="1"/>
  <c r="V22" i="13" s="1"/>
  <c r="R21" i="13"/>
  <c r="U21" i="13" s="1"/>
  <c r="V21" i="13" s="1"/>
  <c r="R20" i="13"/>
  <c r="R19" i="13"/>
  <c r="R18" i="13"/>
  <c r="R17" i="13"/>
  <c r="U17" i="13" s="1"/>
  <c r="V17" i="13" s="1"/>
  <c r="R16" i="13"/>
  <c r="U16" i="13" s="1"/>
  <c r="V16" i="13" s="1"/>
  <c r="R15" i="13"/>
  <c r="R14" i="13"/>
  <c r="U14" i="13" s="1"/>
  <c r="V14" i="13" s="1"/>
  <c r="R13" i="13"/>
  <c r="U13" i="13" s="1"/>
  <c r="V13" i="13" s="1"/>
  <c r="R12" i="13"/>
  <c r="U12" i="13" s="1"/>
  <c r="R11" i="13"/>
  <c r="R10" i="13"/>
  <c r="R9" i="13"/>
  <c r="U9" i="13" s="1"/>
  <c r="V9" i="13" s="1"/>
  <c r="R8" i="13"/>
  <c r="U8" i="13" s="1"/>
  <c r="V8" i="13" s="1"/>
  <c r="R7" i="13"/>
  <c r="R6" i="13"/>
  <c r="U6" i="13" s="1"/>
  <c r="V6" i="13" s="1"/>
  <c r="R5" i="13"/>
  <c r="U5" i="13" s="1"/>
  <c r="W36" i="12"/>
  <c r="T36" i="12"/>
  <c r="S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R35" i="12"/>
  <c r="U35" i="12" s="1"/>
  <c r="R34" i="12"/>
  <c r="R33" i="12"/>
  <c r="U33" i="12" s="1"/>
  <c r="V33" i="12" s="1"/>
  <c r="R32" i="12"/>
  <c r="U32" i="12" s="1"/>
  <c r="V32" i="12" s="1"/>
  <c r="R31" i="12"/>
  <c r="U31" i="12" s="1"/>
  <c r="R30" i="12"/>
  <c r="R29" i="12"/>
  <c r="U29" i="12" s="1"/>
  <c r="V29" i="12" s="1"/>
  <c r="U28" i="12"/>
  <c r="V28" i="12" s="1"/>
  <c r="R28" i="12"/>
  <c r="R27" i="12"/>
  <c r="U27" i="12" s="1"/>
  <c r="R26" i="12"/>
  <c r="R25" i="12"/>
  <c r="U25" i="12" s="1"/>
  <c r="V25" i="12" s="1"/>
  <c r="R24" i="12"/>
  <c r="U24" i="12" s="1"/>
  <c r="V24" i="12" s="1"/>
  <c r="R23" i="12"/>
  <c r="U23" i="12" s="1"/>
  <c r="R22" i="12"/>
  <c r="R21" i="12"/>
  <c r="U21" i="12" s="1"/>
  <c r="V21" i="12" s="1"/>
  <c r="R20" i="12"/>
  <c r="U20" i="12" s="1"/>
  <c r="V20" i="12" s="1"/>
  <c r="R19" i="12"/>
  <c r="R18" i="12"/>
  <c r="R17" i="12"/>
  <c r="U17" i="12" s="1"/>
  <c r="V17" i="12" s="1"/>
  <c r="R16" i="12"/>
  <c r="U16" i="12" s="1"/>
  <c r="V16" i="12" s="1"/>
  <c r="R15" i="12"/>
  <c r="R14" i="12"/>
  <c r="R13" i="12"/>
  <c r="U13" i="12" s="1"/>
  <c r="V13" i="12" s="1"/>
  <c r="U12" i="12"/>
  <c r="V12" i="12" s="1"/>
  <c r="R12" i="12"/>
  <c r="R11" i="12"/>
  <c r="R10" i="12"/>
  <c r="R9" i="12"/>
  <c r="U9" i="12" s="1"/>
  <c r="V9" i="12" s="1"/>
  <c r="R8" i="12"/>
  <c r="U8" i="12" s="1"/>
  <c r="V8" i="12" s="1"/>
  <c r="R7" i="12"/>
  <c r="R6" i="12"/>
  <c r="R5" i="12"/>
  <c r="U5" i="12" s="1"/>
  <c r="W36" i="11"/>
  <c r="T36" i="11"/>
  <c r="S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R35" i="11"/>
  <c r="R34" i="11"/>
  <c r="R33" i="11"/>
  <c r="U33" i="11" s="1"/>
  <c r="R32" i="11"/>
  <c r="U32" i="11" s="1"/>
  <c r="V32" i="11" s="1"/>
  <c r="R31" i="11"/>
  <c r="R30" i="11"/>
  <c r="R29" i="11"/>
  <c r="U29" i="11" s="1"/>
  <c r="V29" i="11" s="1"/>
  <c r="R28" i="11"/>
  <c r="R27" i="11"/>
  <c r="R26" i="11"/>
  <c r="U26" i="11" s="1"/>
  <c r="V26" i="11" s="1"/>
  <c r="R25" i="11"/>
  <c r="U25" i="11" s="1"/>
  <c r="R24" i="11"/>
  <c r="U24" i="11" s="1"/>
  <c r="V24" i="11" s="1"/>
  <c r="R23" i="11"/>
  <c r="R22" i="11"/>
  <c r="R21" i="11"/>
  <c r="U21" i="11" s="1"/>
  <c r="V21" i="11" s="1"/>
  <c r="R20" i="11"/>
  <c r="R19" i="11"/>
  <c r="R18" i="11"/>
  <c r="U18" i="11" s="1"/>
  <c r="V18" i="11" s="1"/>
  <c r="R17" i="11"/>
  <c r="U17" i="11" s="1"/>
  <c r="R16" i="11"/>
  <c r="U16" i="11" s="1"/>
  <c r="V16" i="11" s="1"/>
  <c r="R15" i="11"/>
  <c r="R14" i="11"/>
  <c r="U14" i="11" s="1"/>
  <c r="R13" i="11"/>
  <c r="U13" i="11" s="1"/>
  <c r="V13" i="11" s="1"/>
  <c r="R12" i="11"/>
  <c r="R11" i="11"/>
  <c r="U11" i="11" s="1"/>
  <c r="R10" i="11"/>
  <c r="U10" i="11" s="1"/>
  <c r="V10" i="11" s="1"/>
  <c r="R9" i="11"/>
  <c r="U9" i="11" s="1"/>
  <c r="R8" i="11"/>
  <c r="U8" i="11" s="1"/>
  <c r="V8" i="11" s="1"/>
  <c r="R7" i="11"/>
  <c r="R6" i="11"/>
  <c r="R5" i="11"/>
  <c r="U5" i="11" s="1"/>
  <c r="V5" i="11" s="1"/>
  <c r="W36" i="10"/>
  <c r="T36" i="10"/>
  <c r="S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R35" i="10"/>
  <c r="R34" i="10"/>
  <c r="U34" i="10" s="1"/>
  <c r="R33" i="10"/>
  <c r="U33" i="10" s="1"/>
  <c r="V33" i="10" s="1"/>
  <c r="R32" i="10"/>
  <c r="R31" i="10"/>
  <c r="R30" i="10"/>
  <c r="U30" i="10" s="1"/>
  <c r="V30" i="10" s="1"/>
  <c r="U29" i="10"/>
  <c r="V29" i="10" s="1"/>
  <c r="R29" i="10"/>
  <c r="R28" i="10"/>
  <c r="R27" i="10"/>
  <c r="R26" i="10"/>
  <c r="U26" i="10" s="1"/>
  <c r="R25" i="10"/>
  <c r="U25" i="10" s="1"/>
  <c r="V25" i="10" s="1"/>
  <c r="R24" i="10"/>
  <c r="R23" i="10"/>
  <c r="R22" i="10"/>
  <c r="U22" i="10" s="1"/>
  <c r="V22" i="10" s="1"/>
  <c r="R21" i="10"/>
  <c r="U21" i="10" s="1"/>
  <c r="V21" i="10" s="1"/>
  <c r="R20" i="10"/>
  <c r="R19" i="10"/>
  <c r="R18" i="10"/>
  <c r="U18" i="10" s="1"/>
  <c r="R17" i="10"/>
  <c r="U17" i="10" s="1"/>
  <c r="V17" i="10" s="1"/>
  <c r="R16" i="10"/>
  <c r="U16" i="10" s="1"/>
  <c r="R15" i="10"/>
  <c r="R14" i="10"/>
  <c r="U14" i="10" s="1"/>
  <c r="V14" i="10" s="1"/>
  <c r="U13" i="10"/>
  <c r="V13" i="10" s="1"/>
  <c r="R13" i="10"/>
  <c r="R12" i="10"/>
  <c r="R11" i="10"/>
  <c r="R10" i="10"/>
  <c r="U10" i="10" s="1"/>
  <c r="R9" i="10"/>
  <c r="U9" i="10" s="1"/>
  <c r="V9" i="10" s="1"/>
  <c r="R8" i="10"/>
  <c r="U8" i="10" s="1"/>
  <c r="R7" i="10"/>
  <c r="R6" i="10"/>
  <c r="U6" i="10" s="1"/>
  <c r="V6" i="10" s="1"/>
  <c r="R5" i="10"/>
  <c r="W36" i="9"/>
  <c r="T36" i="9"/>
  <c r="S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R35" i="9"/>
  <c r="R34" i="9"/>
  <c r="R33" i="9"/>
  <c r="U33" i="9" s="1"/>
  <c r="V33" i="9" s="1"/>
  <c r="R32" i="9"/>
  <c r="U32" i="9" s="1"/>
  <c r="R31" i="9"/>
  <c r="R30" i="9"/>
  <c r="R29" i="9"/>
  <c r="U29" i="9" s="1"/>
  <c r="V29" i="9" s="1"/>
  <c r="R28" i="9"/>
  <c r="R27" i="9"/>
  <c r="R26" i="9"/>
  <c r="U26" i="9" s="1"/>
  <c r="V26" i="9" s="1"/>
  <c r="R25" i="9"/>
  <c r="U25" i="9" s="1"/>
  <c r="V25" i="9" s="1"/>
  <c r="R24" i="9"/>
  <c r="U24" i="9" s="1"/>
  <c r="R23" i="9"/>
  <c r="R22" i="9"/>
  <c r="U22" i="9" s="1"/>
  <c r="U21" i="9"/>
  <c r="V21" i="9" s="1"/>
  <c r="R21" i="9"/>
  <c r="R20" i="9"/>
  <c r="R19" i="9"/>
  <c r="R18" i="9"/>
  <c r="U18" i="9" s="1"/>
  <c r="V18" i="9" s="1"/>
  <c r="R17" i="9"/>
  <c r="U17" i="9" s="1"/>
  <c r="V17" i="9" s="1"/>
  <c r="R16" i="9"/>
  <c r="U16" i="9" s="1"/>
  <c r="R15" i="9"/>
  <c r="R14" i="9"/>
  <c r="R13" i="9"/>
  <c r="U13" i="9" s="1"/>
  <c r="V13" i="9" s="1"/>
  <c r="R12" i="9"/>
  <c r="R11" i="9"/>
  <c r="R10" i="9"/>
  <c r="U10" i="9" s="1"/>
  <c r="V10" i="9" s="1"/>
  <c r="R9" i="9"/>
  <c r="U9" i="9" s="1"/>
  <c r="V9" i="9" s="1"/>
  <c r="R8" i="9"/>
  <c r="U8" i="9" s="1"/>
  <c r="R7" i="9"/>
  <c r="R6" i="9"/>
  <c r="U5" i="9"/>
  <c r="R5" i="9"/>
  <c r="W36" i="8"/>
  <c r="T36" i="8"/>
  <c r="S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R35" i="8"/>
  <c r="R34" i="8"/>
  <c r="R33" i="8"/>
  <c r="U33" i="8" s="1"/>
  <c r="V33" i="8" s="1"/>
  <c r="R32" i="8"/>
  <c r="U32" i="8" s="1"/>
  <c r="V32" i="8" s="1"/>
  <c r="R31" i="8"/>
  <c r="U31" i="8" s="1"/>
  <c r="R30" i="8"/>
  <c r="R29" i="8"/>
  <c r="U29" i="8" s="1"/>
  <c r="V29" i="8" s="1"/>
  <c r="R28" i="8"/>
  <c r="U28" i="8" s="1"/>
  <c r="V28" i="8" s="1"/>
  <c r="R27" i="8"/>
  <c r="R26" i="8"/>
  <c r="R25" i="8"/>
  <c r="U25" i="8" s="1"/>
  <c r="V25" i="8" s="1"/>
  <c r="R24" i="8"/>
  <c r="U24" i="8" s="1"/>
  <c r="V24" i="8" s="1"/>
  <c r="R23" i="8"/>
  <c r="U23" i="8" s="1"/>
  <c r="R22" i="8"/>
  <c r="R21" i="8"/>
  <c r="U21" i="8" s="1"/>
  <c r="V21" i="8" s="1"/>
  <c r="U20" i="8"/>
  <c r="V20" i="8" s="1"/>
  <c r="R20" i="8"/>
  <c r="R19" i="8"/>
  <c r="R18" i="8"/>
  <c r="R17" i="8"/>
  <c r="U17" i="8" s="1"/>
  <c r="V17" i="8" s="1"/>
  <c r="R16" i="8"/>
  <c r="U16" i="8" s="1"/>
  <c r="V16" i="8" s="1"/>
  <c r="R15" i="8"/>
  <c r="U14" i="8"/>
  <c r="R14" i="8"/>
  <c r="R13" i="8"/>
  <c r="U13" i="8" s="1"/>
  <c r="V13" i="8" s="1"/>
  <c r="R12" i="8"/>
  <c r="U12" i="8" s="1"/>
  <c r="V12" i="8" s="1"/>
  <c r="R11" i="8"/>
  <c r="R10" i="8"/>
  <c r="R9" i="8"/>
  <c r="U9" i="8" s="1"/>
  <c r="V9" i="8" s="1"/>
  <c r="U8" i="8"/>
  <c r="V8" i="8" s="1"/>
  <c r="R8" i="8"/>
  <c r="R7" i="8"/>
  <c r="R6" i="8"/>
  <c r="U6" i="8" s="1"/>
  <c r="R5" i="8"/>
  <c r="U5" i="8" s="1"/>
  <c r="W36" i="7"/>
  <c r="T36" i="7"/>
  <c r="S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R35" i="7"/>
  <c r="R34" i="7"/>
  <c r="R33" i="7"/>
  <c r="U33" i="7" s="1"/>
  <c r="V33" i="7" s="1"/>
  <c r="U32" i="7"/>
  <c r="V32" i="7" s="1"/>
  <c r="R32" i="7"/>
  <c r="R31" i="7"/>
  <c r="U31" i="7" s="1"/>
  <c r="U30" i="7"/>
  <c r="V30" i="7" s="1"/>
  <c r="R30" i="7"/>
  <c r="R29" i="7"/>
  <c r="U29" i="7" s="1"/>
  <c r="V29" i="7" s="1"/>
  <c r="R28" i="7"/>
  <c r="R27" i="7"/>
  <c r="R26" i="7"/>
  <c r="R25" i="7"/>
  <c r="U25" i="7" s="1"/>
  <c r="V25" i="7" s="1"/>
  <c r="U24" i="7"/>
  <c r="V24" i="7" s="1"/>
  <c r="R24" i="7"/>
  <c r="R23" i="7"/>
  <c r="U23" i="7" s="1"/>
  <c r="U22" i="7"/>
  <c r="V22" i="7" s="1"/>
  <c r="R22" i="7"/>
  <c r="R21" i="7"/>
  <c r="U21" i="7" s="1"/>
  <c r="V21" i="7" s="1"/>
  <c r="R20" i="7"/>
  <c r="R19" i="7"/>
  <c r="R18" i="7"/>
  <c r="R17" i="7"/>
  <c r="U17" i="7" s="1"/>
  <c r="V17" i="7" s="1"/>
  <c r="U16" i="7"/>
  <c r="V16" i="7" s="1"/>
  <c r="R16" i="7"/>
  <c r="R15" i="7"/>
  <c r="U15" i="7" s="1"/>
  <c r="U14" i="7"/>
  <c r="V14" i="7" s="1"/>
  <c r="R14" i="7"/>
  <c r="R13" i="7"/>
  <c r="U13" i="7" s="1"/>
  <c r="V13" i="7" s="1"/>
  <c r="R12" i="7"/>
  <c r="R11" i="7"/>
  <c r="R10" i="7"/>
  <c r="R9" i="7"/>
  <c r="U9" i="7" s="1"/>
  <c r="V9" i="7" s="1"/>
  <c r="U8" i="7"/>
  <c r="V8" i="7" s="1"/>
  <c r="R8" i="7"/>
  <c r="R7" i="7"/>
  <c r="U6" i="7"/>
  <c r="V6" i="7" s="1"/>
  <c r="R6" i="7"/>
  <c r="R5" i="7"/>
  <c r="U5" i="7" s="1"/>
  <c r="W36" i="2"/>
  <c r="T36" i="2"/>
  <c r="S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R35" i="2"/>
  <c r="R34" i="2"/>
  <c r="R33" i="2"/>
  <c r="U32" i="2"/>
  <c r="V32" i="2" s="1"/>
  <c r="R32" i="2"/>
  <c r="R31" i="2"/>
  <c r="R30" i="2"/>
  <c r="U30" i="2" s="1"/>
  <c r="R29" i="2"/>
  <c r="U29" i="2" s="1"/>
  <c r="V29" i="2" s="1"/>
  <c r="R28" i="2"/>
  <c r="U28" i="2" s="1"/>
  <c r="R27" i="2"/>
  <c r="U27" i="2" s="1"/>
  <c r="R26" i="2"/>
  <c r="R25" i="2"/>
  <c r="R24" i="2"/>
  <c r="U24" i="2" s="1"/>
  <c r="V24" i="2" s="1"/>
  <c r="R23" i="2"/>
  <c r="U23" i="2" s="1"/>
  <c r="R22" i="2"/>
  <c r="U22" i="2" s="1"/>
  <c r="U21" i="2"/>
  <c r="V21" i="2" s="1"/>
  <c r="R21" i="2"/>
  <c r="R20" i="2"/>
  <c r="U20" i="2" s="1"/>
  <c r="R19" i="2"/>
  <c r="R18" i="2"/>
  <c r="R17" i="2"/>
  <c r="R16" i="2"/>
  <c r="U16" i="2" s="1"/>
  <c r="V16" i="2" s="1"/>
  <c r="R15" i="2"/>
  <c r="U15" i="2" s="1"/>
  <c r="R14" i="2"/>
  <c r="R13" i="2"/>
  <c r="U13" i="2" s="1"/>
  <c r="R12" i="2"/>
  <c r="R11" i="2"/>
  <c r="R10" i="2"/>
  <c r="R9" i="2"/>
  <c r="U9" i="2" s="1"/>
  <c r="R8" i="2"/>
  <c r="U8" i="2" s="1"/>
  <c r="V8" i="2" s="1"/>
  <c r="R7" i="2"/>
  <c r="R6" i="2"/>
  <c r="R5" i="2"/>
  <c r="W36" i="6"/>
  <c r="T36" i="6"/>
  <c r="S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R35" i="6"/>
  <c r="R34" i="6"/>
  <c r="U33" i="6"/>
  <c r="V33" i="6" s="1"/>
  <c r="R33" i="6"/>
  <c r="R32" i="6"/>
  <c r="U32" i="6" s="1"/>
  <c r="V32" i="6" s="1"/>
  <c r="R31" i="6"/>
  <c r="U31" i="6" s="1"/>
  <c r="R30" i="6"/>
  <c r="U30" i="6" s="1"/>
  <c r="V30" i="6" s="1"/>
  <c r="R29" i="6"/>
  <c r="U29" i="6" s="1"/>
  <c r="V29" i="6" s="1"/>
  <c r="R28" i="6"/>
  <c r="R27" i="6"/>
  <c r="R26" i="6"/>
  <c r="R25" i="6"/>
  <c r="U25" i="6" s="1"/>
  <c r="V25" i="6" s="1"/>
  <c r="U24" i="6"/>
  <c r="V24" i="6" s="1"/>
  <c r="R24" i="6"/>
  <c r="R23" i="6"/>
  <c r="R22" i="6"/>
  <c r="U22" i="6" s="1"/>
  <c r="V22" i="6" s="1"/>
  <c r="R21" i="6"/>
  <c r="U21" i="6" s="1"/>
  <c r="V21" i="6" s="1"/>
  <c r="R20" i="6"/>
  <c r="R19" i="6"/>
  <c r="R18" i="6"/>
  <c r="U17" i="6"/>
  <c r="V17" i="6" s="1"/>
  <c r="R17" i="6"/>
  <c r="R16" i="6"/>
  <c r="U16" i="6" s="1"/>
  <c r="V16" i="6" s="1"/>
  <c r="R15" i="6"/>
  <c r="R14" i="6"/>
  <c r="U14" i="6" s="1"/>
  <c r="V14" i="6" s="1"/>
  <c r="R13" i="6"/>
  <c r="U13" i="6" s="1"/>
  <c r="V13" i="6" s="1"/>
  <c r="R12" i="6"/>
  <c r="R11" i="6"/>
  <c r="R10" i="6"/>
  <c r="R9" i="6"/>
  <c r="U9" i="6" s="1"/>
  <c r="V9" i="6" s="1"/>
  <c r="U8" i="6"/>
  <c r="V8" i="6" s="1"/>
  <c r="R8" i="6"/>
  <c r="R7" i="6"/>
  <c r="R6" i="6"/>
  <c r="U6" i="6" s="1"/>
  <c r="V6" i="6" s="1"/>
  <c r="R5" i="6"/>
  <c r="U5" i="6" s="1"/>
  <c r="W36" i="5"/>
  <c r="T36" i="5"/>
  <c r="S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R35" i="5"/>
  <c r="R34" i="5"/>
  <c r="R33" i="5"/>
  <c r="U33" i="5" s="1"/>
  <c r="V33" i="5" s="1"/>
  <c r="R32" i="5"/>
  <c r="U32" i="5" s="1"/>
  <c r="V32" i="5" s="1"/>
  <c r="R31" i="5"/>
  <c r="R30" i="5"/>
  <c r="U30" i="5" s="1"/>
  <c r="V30" i="5" s="1"/>
  <c r="R29" i="5"/>
  <c r="U29" i="5" s="1"/>
  <c r="V29" i="5" s="1"/>
  <c r="R28" i="5"/>
  <c r="R27" i="5"/>
  <c r="R26" i="5"/>
  <c r="R25" i="5"/>
  <c r="U25" i="5" s="1"/>
  <c r="V25" i="5" s="1"/>
  <c r="R24" i="5"/>
  <c r="U24" i="5" s="1"/>
  <c r="V24" i="5" s="1"/>
  <c r="R23" i="5"/>
  <c r="R22" i="5"/>
  <c r="U22" i="5" s="1"/>
  <c r="V22" i="5" s="1"/>
  <c r="R21" i="5"/>
  <c r="U21" i="5" s="1"/>
  <c r="V21" i="5" s="1"/>
  <c r="R20" i="5"/>
  <c r="U20" i="5" s="1"/>
  <c r="R19" i="5"/>
  <c r="R18" i="5"/>
  <c r="R17" i="5"/>
  <c r="U17" i="5" s="1"/>
  <c r="V17" i="5" s="1"/>
  <c r="R16" i="5"/>
  <c r="U16" i="5" s="1"/>
  <c r="V16" i="5" s="1"/>
  <c r="R15" i="5"/>
  <c r="R14" i="5"/>
  <c r="U14" i="5" s="1"/>
  <c r="V14" i="5" s="1"/>
  <c r="R13" i="5"/>
  <c r="U13" i="5" s="1"/>
  <c r="V13" i="5" s="1"/>
  <c r="R12" i="5"/>
  <c r="R11" i="5"/>
  <c r="R10" i="5"/>
  <c r="R9" i="5"/>
  <c r="U9" i="5" s="1"/>
  <c r="V9" i="5" s="1"/>
  <c r="R8" i="5"/>
  <c r="U8" i="5" s="1"/>
  <c r="V8" i="5" s="1"/>
  <c r="R7" i="5"/>
  <c r="R6" i="5"/>
  <c r="U6" i="5" s="1"/>
  <c r="V6" i="5" s="1"/>
  <c r="R5" i="5"/>
  <c r="U5" i="5" s="1"/>
  <c r="W36" i="4"/>
  <c r="T36" i="4"/>
  <c r="S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R35" i="4"/>
  <c r="R34" i="4"/>
  <c r="R33" i="4"/>
  <c r="U33" i="4" s="1"/>
  <c r="V33" i="4" s="1"/>
  <c r="U32" i="4"/>
  <c r="V32" i="4" s="1"/>
  <c r="R32" i="4"/>
  <c r="R31" i="4"/>
  <c r="U31" i="4" s="1"/>
  <c r="R30" i="4"/>
  <c r="U30" i="4" s="1"/>
  <c r="V30" i="4" s="1"/>
  <c r="R29" i="4"/>
  <c r="U29" i="4" s="1"/>
  <c r="V29" i="4" s="1"/>
  <c r="R28" i="4"/>
  <c r="R27" i="4"/>
  <c r="R26" i="4"/>
  <c r="U25" i="4"/>
  <c r="V25" i="4" s="1"/>
  <c r="R25" i="4"/>
  <c r="R24" i="4"/>
  <c r="U24" i="4" s="1"/>
  <c r="V24" i="4" s="1"/>
  <c r="R23" i="4"/>
  <c r="R22" i="4"/>
  <c r="U22" i="4" s="1"/>
  <c r="V22" i="4" s="1"/>
  <c r="R21" i="4"/>
  <c r="U21" i="4" s="1"/>
  <c r="V21" i="4" s="1"/>
  <c r="R20" i="4"/>
  <c r="R19" i="4"/>
  <c r="R18" i="4"/>
  <c r="R17" i="4"/>
  <c r="U17" i="4" s="1"/>
  <c r="V17" i="4" s="1"/>
  <c r="U16" i="4"/>
  <c r="V16" i="4" s="1"/>
  <c r="R16" i="4"/>
  <c r="R15" i="4"/>
  <c r="R14" i="4"/>
  <c r="U14" i="4" s="1"/>
  <c r="V14" i="4" s="1"/>
  <c r="R13" i="4"/>
  <c r="U13" i="4" s="1"/>
  <c r="V13" i="4" s="1"/>
  <c r="R12" i="4"/>
  <c r="R11" i="4"/>
  <c r="R10" i="4"/>
  <c r="U9" i="4"/>
  <c r="V9" i="4" s="1"/>
  <c r="R9" i="4"/>
  <c r="R8" i="4"/>
  <c r="U8" i="4" s="1"/>
  <c r="V8" i="4" s="1"/>
  <c r="R7" i="4"/>
  <c r="R6" i="4"/>
  <c r="R5" i="4"/>
  <c r="U5" i="4" s="1"/>
  <c r="W36" i="3"/>
  <c r="T36" i="3"/>
  <c r="S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R35" i="3"/>
  <c r="R34" i="3"/>
  <c r="R33" i="3"/>
  <c r="U33" i="3" s="1"/>
  <c r="U32" i="3"/>
  <c r="V32" i="3" s="1"/>
  <c r="R32" i="3"/>
  <c r="R31" i="3"/>
  <c r="R30" i="3"/>
  <c r="R29" i="3"/>
  <c r="U29" i="3" s="1"/>
  <c r="V29" i="3" s="1"/>
  <c r="R28" i="3"/>
  <c r="R27" i="3"/>
  <c r="R26" i="3"/>
  <c r="R25" i="3"/>
  <c r="R24" i="3"/>
  <c r="U24" i="3" s="1"/>
  <c r="V24" i="3" s="1"/>
  <c r="R23" i="3"/>
  <c r="U23" i="3" s="1"/>
  <c r="R22" i="3"/>
  <c r="U22" i="3" s="1"/>
  <c r="R21" i="3"/>
  <c r="U21" i="3" s="1"/>
  <c r="V21" i="3" s="1"/>
  <c r="R20" i="3"/>
  <c r="R19" i="3"/>
  <c r="R18" i="3"/>
  <c r="R17" i="3"/>
  <c r="R16" i="3"/>
  <c r="U16" i="3" s="1"/>
  <c r="V16" i="3" s="1"/>
  <c r="R15" i="3"/>
  <c r="R14" i="3"/>
  <c r="R13" i="3"/>
  <c r="U13" i="3" s="1"/>
  <c r="V13" i="3" s="1"/>
  <c r="R12" i="3"/>
  <c r="R11" i="3"/>
  <c r="U11" i="3" s="1"/>
  <c r="R10" i="3"/>
  <c r="R9" i="3"/>
  <c r="R8" i="3"/>
  <c r="U8" i="3" s="1"/>
  <c r="V8" i="3" s="1"/>
  <c r="R7" i="3"/>
  <c r="R6" i="3"/>
  <c r="R5" i="3"/>
  <c r="U5" i="3" s="1"/>
  <c r="W36" i="1"/>
  <c r="T36" i="1"/>
  <c r="S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R35" i="1"/>
  <c r="R34" i="1"/>
  <c r="R33" i="1"/>
  <c r="R32" i="1"/>
  <c r="R31" i="1"/>
  <c r="R30" i="1"/>
  <c r="U30" i="1" s="1"/>
  <c r="V30" i="1" s="1"/>
  <c r="R29" i="1"/>
  <c r="R28" i="1"/>
  <c r="R27" i="1"/>
  <c r="R26" i="1"/>
  <c r="R25" i="1"/>
  <c r="U25" i="1" s="1"/>
  <c r="V25" i="1" s="1"/>
  <c r="R24" i="1"/>
  <c r="R23" i="1"/>
  <c r="R22" i="1"/>
  <c r="U22" i="1" s="1"/>
  <c r="V22" i="1" s="1"/>
  <c r="R21" i="1"/>
  <c r="R20" i="1"/>
  <c r="R19" i="1"/>
  <c r="R18" i="1"/>
  <c r="R17" i="1"/>
  <c r="U17" i="1" s="1"/>
  <c r="V17" i="1" s="1"/>
  <c r="R16" i="1"/>
  <c r="R15" i="1"/>
  <c r="R14" i="1"/>
  <c r="U14" i="1" s="1"/>
  <c r="V14" i="1" s="1"/>
  <c r="R13" i="1"/>
  <c r="R12" i="1"/>
  <c r="R11" i="1"/>
  <c r="R10" i="1"/>
  <c r="R9" i="1"/>
  <c r="U9" i="1" s="1"/>
  <c r="V9" i="1" s="1"/>
  <c r="R8" i="1"/>
  <c r="R7" i="1"/>
  <c r="R6" i="1"/>
  <c r="U6" i="1" s="1"/>
  <c r="V6" i="1" s="1"/>
  <c r="R5" i="1"/>
  <c r="R36" i="11" l="1"/>
  <c r="V13" i="2"/>
  <c r="U6" i="9"/>
  <c r="V6" i="9" s="1"/>
  <c r="V12" i="9"/>
  <c r="V22" i="9"/>
  <c r="U28" i="9"/>
  <c r="V28" i="9" s="1"/>
  <c r="U22" i="8"/>
  <c r="V22" i="8" s="1"/>
  <c r="U12" i="9"/>
  <c r="U7" i="11"/>
  <c r="V7" i="11" s="1"/>
  <c r="U23" i="11"/>
  <c r="V23" i="11" s="1"/>
  <c r="R36" i="10"/>
  <c r="U5" i="2"/>
  <c r="V5" i="2" s="1"/>
  <c r="U30" i="8"/>
  <c r="V30" i="8" s="1"/>
  <c r="U20" i="9"/>
  <c r="V20" i="9" s="1"/>
  <c r="U5" i="10"/>
  <c r="V15" i="11"/>
  <c r="V31" i="11"/>
  <c r="V6" i="8"/>
  <c r="U30" i="9"/>
  <c r="V30" i="9" s="1"/>
  <c r="V14" i="8"/>
  <c r="R36" i="9"/>
  <c r="U14" i="9"/>
  <c r="V14" i="9" s="1"/>
  <c r="U15" i="11"/>
  <c r="U31" i="11"/>
  <c r="V20" i="13"/>
  <c r="V15" i="13"/>
  <c r="V23" i="13"/>
  <c r="V28" i="13"/>
  <c r="V5" i="13"/>
  <c r="U7" i="13"/>
  <c r="V7" i="13" s="1"/>
  <c r="U20" i="13"/>
  <c r="U28" i="13"/>
  <c r="V12" i="13"/>
  <c r="U15" i="13"/>
  <c r="U11" i="13"/>
  <c r="V11" i="13" s="1"/>
  <c r="U19" i="13"/>
  <c r="U27" i="13"/>
  <c r="V27" i="13" s="1"/>
  <c r="U35" i="13"/>
  <c r="V35" i="13" s="1"/>
  <c r="R36" i="13"/>
  <c r="U23" i="13"/>
  <c r="U10" i="13"/>
  <c r="V10" i="13" s="1"/>
  <c r="U18" i="13"/>
  <c r="V18" i="13" s="1"/>
  <c r="U26" i="13"/>
  <c r="V26" i="13" s="1"/>
  <c r="V31" i="13"/>
  <c r="U34" i="13"/>
  <c r="V34" i="13" s="1"/>
  <c r="V5" i="12"/>
  <c r="V22" i="12"/>
  <c r="U19" i="12"/>
  <c r="V19" i="12" s="1"/>
  <c r="U11" i="12"/>
  <c r="V11" i="12" s="1"/>
  <c r="U6" i="12"/>
  <c r="U14" i="12"/>
  <c r="V14" i="12" s="1"/>
  <c r="U22" i="12"/>
  <c r="V27" i="12"/>
  <c r="U30" i="12"/>
  <c r="V30" i="12" s="1"/>
  <c r="V35" i="12"/>
  <c r="R36" i="12"/>
  <c r="U10" i="12"/>
  <c r="V10" i="12" s="1"/>
  <c r="V23" i="12"/>
  <c r="V31" i="12"/>
  <c r="U34" i="12"/>
  <c r="V34" i="12" s="1"/>
  <c r="U7" i="12"/>
  <c r="V7" i="12" s="1"/>
  <c r="U15" i="12"/>
  <c r="V15" i="12" s="1"/>
  <c r="U18" i="12"/>
  <c r="V18" i="12" s="1"/>
  <c r="U26" i="12"/>
  <c r="V26" i="12" s="1"/>
  <c r="V19" i="11"/>
  <c r="U35" i="11"/>
  <c r="V35" i="11" s="1"/>
  <c r="V9" i="11"/>
  <c r="U12" i="11"/>
  <c r="V12" i="11" s="1"/>
  <c r="V17" i="11"/>
  <c r="U20" i="11"/>
  <c r="V20" i="11" s="1"/>
  <c r="V25" i="11"/>
  <c r="U28" i="11"/>
  <c r="V28" i="11" s="1"/>
  <c r="V33" i="11"/>
  <c r="U19" i="11"/>
  <c r="U27" i="11"/>
  <c r="V27" i="11" s="1"/>
  <c r="V11" i="11"/>
  <c r="U22" i="11"/>
  <c r="V22" i="11" s="1"/>
  <c r="U30" i="11"/>
  <c r="V30" i="11" s="1"/>
  <c r="V14" i="11"/>
  <c r="U6" i="11"/>
  <c r="U36" i="11" s="1"/>
  <c r="V36" i="11" s="1"/>
  <c r="U34" i="11"/>
  <c r="V34" i="11" s="1"/>
  <c r="V19" i="10"/>
  <c r="V35" i="10"/>
  <c r="V23" i="10"/>
  <c r="V11" i="10"/>
  <c r="U12" i="10"/>
  <c r="V12" i="10" s="1"/>
  <c r="V10" i="10"/>
  <c r="V18" i="10"/>
  <c r="V26" i="10"/>
  <c r="V34" i="10"/>
  <c r="U24" i="10"/>
  <c r="V24" i="10" s="1"/>
  <c r="U32" i="10"/>
  <c r="V32" i="10" s="1"/>
  <c r="V8" i="10"/>
  <c r="U11" i="10"/>
  <c r="V16" i="10"/>
  <c r="U19" i="10"/>
  <c r="U27" i="10"/>
  <c r="V27" i="10" s="1"/>
  <c r="U35" i="10"/>
  <c r="U20" i="10"/>
  <c r="V20" i="10" s="1"/>
  <c r="U28" i="10"/>
  <c r="V28" i="10" s="1"/>
  <c r="U7" i="10"/>
  <c r="V7" i="10" s="1"/>
  <c r="V5" i="10"/>
  <c r="U15" i="10"/>
  <c r="V15" i="10" s="1"/>
  <c r="U23" i="10"/>
  <c r="U31" i="10"/>
  <c r="V31" i="10" s="1"/>
  <c r="V11" i="9"/>
  <c r="V35" i="9"/>
  <c r="V7" i="9"/>
  <c r="V8" i="9"/>
  <c r="U11" i="9"/>
  <c r="V16" i="9"/>
  <c r="U19" i="9"/>
  <c r="V19" i="9" s="1"/>
  <c r="V24" i="9"/>
  <c r="U27" i="9"/>
  <c r="V27" i="9" s="1"/>
  <c r="V32" i="9"/>
  <c r="U35" i="9"/>
  <c r="V5" i="9"/>
  <c r="U7" i="9"/>
  <c r="U15" i="9"/>
  <c r="V15" i="9" s="1"/>
  <c r="U23" i="9"/>
  <c r="V23" i="9" s="1"/>
  <c r="U31" i="9"/>
  <c r="U34" i="9"/>
  <c r="V34" i="9" s="1"/>
  <c r="V27" i="8"/>
  <c r="V5" i="8"/>
  <c r="U7" i="8"/>
  <c r="V7" i="8" s="1"/>
  <c r="U15" i="8"/>
  <c r="V15" i="8" s="1"/>
  <c r="U11" i="8"/>
  <c r="V11" i="8" s="1"/>
  <c r="U19" i="8"/>
  <c r="V19" i="8" s="1"/>
  <c r="U27" i="8"/>
  <c r="U35" i="8"/>
  <c r="V35" i="8" s="1"/>
  <c r="R36" i="8"/>
  <c r="U10" i="8"/>
  <c r="V10" i="8" s="1"/>
  <c r="V23" i="8"/>
  <c r="U26" i="8"/>
  <c r="V26" i="8" s="1"/>
  <c r="V31" i="8"/>
  <c r="U34" i="8"/>
  <c r="V34" i="8" s="1"/>
  <c r="U18" i="8"/>
  <c r="V18" i="8" s="1"/>
  <c r="V11" i="7"/>
  <c r="V35" i="7"/>
  <c r="V5" i="7"/>
  <c r="U12" i="7"/>
  <c r="V12" i="7" s="1"/>
  <c r="U11" i="7"/>
  <c r="U19" i="7"/>
  <c r="V19" i="7" s="1"/>
  <c r="U27" i="7"/>
  <c r="V27" i="7" s="1"/>
  <c r="U35" i="7"/>
  <c r="R36" i="7"/>
  <c r="U7" i="7"/>
  <c r="V7" i="7" s="1"/>
  <c r="U10" i="7"/>
  <c r="V15" i="7"/>
  <c r="U18" i="7"/>
  <c r="V18" i="7" s="1"/>
  <c r="V23" i="7"/>
  <c r="V31" i="7"/>
  <c r="U34" i="7"/>
  <c r="V34" i="7" s="1"/>
  <c r="U20" i="7"/>
  <c r="V20" i="7" s="1"/>
  <c r="U28" i="7"/>
  <c r="V28" i="7" s="1"/>
  <c r="U26" i="7"/>
  <c r="V26" i="7" s="1"/>
  <c r="V12" i="2"/>
  <c r="V17" i="2"/>
  <c r="V11" i="2"/>
  <c r="V7" i="2"/>
  <c r="V19" i="2"/>
  <c r="U11" i="2"/>
  <c r="U35" i="2"/>
  <c r="V35" i="2" s="1"/>
  <c r="U6" i="2"/>
  <c r="V6" i="2" s="1"/>
  <c r="V27" i="2"/>
  <c r="V22" i="2"/>
  <c r="U25" i="2"/>
  <c r="V25" i="2" s="1"/>
  <c r="V30" i="2"/>
  <c r="U33" i="2"/>
  <c r="V33" i="2" s="1"/>
  <c r="V9" i="2"/>
  <c r="U12" i="2"/>
  <c r="U7" i="2"/>
  <c r="V20" i="2"/>
  <c r="V28" i="2"/>
  <c r="U31" i="2"/>
  <c r="V31" i="2" s="1"/>
  <c r="U19" i="2"/>
  <c r="U14" i="2"/>
  <c r="V14" i="2" s="1"/>
  <c r="R36" i="2"/>
  <c r="U17" i="2"/>
  <c r="U10" i="2"/>
  <c r="V10" i="2" s="1"/>
  <c r="V15" i="2"/>
  <c r="U18" i="2"/>
  <c r="V18" i="2" s="1"/>
  <c r="V23" i="2"/>
  <c r="U26" i="2"/>
  <c r="V26" i="2" s="1"/>
  <c r="U34" i="2"/>
  <c r="V34" i="2" s="1"/>
  <c r="V15" i="6"/>
  <c r="V27" i="6"/>
  <c r="V5" i="6"/>
  <c r="U12" i="6"/>
  <c r="V12" i="6" s="1"/>
  <c r="U27" i="6"/>
  <c r="U35" i="6"/>
  <c r="V35" i="6" s="1"/>
  <c r="U11" i="6"/>
  <c r="V11" i="6" s="1"/>
  <c r="U19" i="6"/>
  <c r="V19" i="6" s="1"/>
  <c r="R36" i="6"/>
  <c r="U20" i="6"/>
  <c r="V20" i="6" s="1"/>
  <c r="U28" i="6"/>
  <c r="V28" i="6" s="1"/>
  <c r="U7" i="6"/>
  <c r="V7" i="6" s="1"/>
  <c r="U15" i="6"/>
  <c r="U23" i="6"/>
  <c r="V23" i="6" s="1"/>
  <c r="V31" i="6"/>
  <c r="U34" i="6"/>
  <c r="V34" i="6" s="1"/>
  <c r="U10" i="6"/>
  <c r="V10" i="6" s="1"/>
  <c r="U18" i="6"/>
  <c r="V18" i="6" s="1"/>
  <c r="U26" i="6"/>
  <c r="V26" i="6" s="1"/>
  <c r="V28" i="5"/>
  <c r="V5" i="5"/>
  <c r="V11" i="5"/>
  <c r="V31" i="5"/>
  <c r="U12" i="5"/>
  <c r="V12" i="5" s="1"/>
  <c r="V20" i="5"/>
  <c r="U23" i="5"/>
  <c r="V23" i="5" s="1"/>
  <c r="U11" i="5"/>
  <c r="U19" i="5"/>
  <c r="V19" i="5" s="1"/>
  <c r="U27" i="5"/>
  <c r="V27" i="5" s="1"/>
  <c r="U35" i="5"/>
  <c r="V35" i="5" s="1"/>
  <c r="R36" i="5"/>
  <c r="U28" i="5"/>
  <c r="U7" i="5"/>
  <c r="V7" i="5" s="1"/>
  <c r="U15" i="5"/>
  <c r="V15" i="5" s="1"/>
  <c r="U31" i="5"/>
  <c r="U10" i="5"/>
  <c r="V10" i="5" s="1"/>
  <c r="U18" i="5"/>
  <c r="V18" i="5" s="1"/>
  <c r="U26" i="5"/>
  <c r="V26" i="5" s="1"/>
  <c r="U34" i="5"/>
  <c r="V34" i="5" s="1"/>
  <c r="V27" i="4"/>
  <c r="V28" i="4"/>
  <c r="V7" i="4"/>
  <c r="V5" i="4"/>
  <c r="U11" i="4"/>
  <c r="V11" i="4" s="1"/>
  <c r="U19" i="4"/>
  <c r="V19" i="4" s="1"/>
  <c r="U27" i="4"/>
  <c r="U35" i="4"/>
  <c r="V35" i="4" s="1"/>
  <c r="U6" i="4"/>
  <c r="V6" i="4" s="1"/>
  <c r="R36" i="4"/>
  <c r="U12" i="4"/>
  <c r="V12" i="4" s="1"/>
  <c r="U20" i="4"/>
  <c r="V20" i="4" s="1"/>
  <c r="U10" i="4"/>
  <c r="V10" i="4" s="1"/>
  <c r="V31" i="4"/>
  <c r="U34" i="4"/>
  <c r="V34" i="4" s="1"/>
  <c r="U28" i="4"/>
  <c r="U7" i="4"/>
  <c r="U15" i="4"/>
  <c r="V15" i="4" s="1"/>
  <c r="U23" i="4"/>
  <c r="V23" i="4" s="1"/>
  <c r="U18" i="4"/>
  <c r="V18" i="4" s="1"/>
  <c r="U26" i="4"/>
  <c r="V26" i="4" s="1"/>
  <c r="V7" i="3"/>
  <c r="V12" i="3"/>
  <c r="V5" i="3"/>
  <c r="V6" i="3"/>
  <c r="V27" i="3"/>
  <c r="V15" i="3"/>
  <c r="U19" i="3"/>
  <c r="V19" i="3" s="1"/>
  <c r="U27" i="3"/>
  <c r="U35" i="3"/>
  <c r="V35" i="3" s="1"/>
  <c r="V11" i="3"/>
  <c r="U15" i="3"/>
  <c r="U14" i="3"/>
  <c r="V14" i="3" s="1"/>
  <c r="U30" i="3"/>
  <c r="V30" i="3" s="1"/>
  <c r="V22" i="3"/>
  <c r="U25" i="3"/>
  <c r="V25" i="3" s="1"/>
  <c r="U12" i="3"/>
  <c r="U28" i="3"/>
  <c r="V28" i="3" s="1"/>
  <c r="V33" i="3"/>
  <c r="U31" i="3"/>
  <c r="V31" i="3" s="1"/>
  <c r="U18" i="3"/>
  <c r="V18" i="3" s="1"/>
  <c r="V23" i="3"/>
  <c r="U26" i="3"/>
  <c r="V26" i="3" s="1"/>
  <c r="U34" i="3"/>
  <c r="V34" i="3" s="1"/>
  <c r="U6" i="3"/>
  <c r="R36" i="3"/>
  <c r="U9" i="3"/>
  <c r="V9" i="3" s="1"/>
  <c r="U17" i="3"/>
  <c r="V17" i="3" s="1"/>
  <c r="U20" i="3"/>
  <c r="V20" i="3" s="1"/>
  <c r="U7" i="3"/>
  <c r="U10" i="3"/>
  <c r="R36" i="1"/>
  <c r="U35" i="1"/>
  <c r="V35" i="1" s="1"/>
  <c r="U12" i="1"/>
  <c r="V12" i="1" s="1"/>
  <c r="U20" i="1"/>
  <c r="V20" i="1" s="1"/>
  <c r="U28" i="1"/>
  <c r="V28" i="1" s="1"/>
  <c r="U7" i="1"/>
  <c r="V7" i="1" s="1"/>
  <c r="U15" i="1"/>
  <c r="V15" i="1" s="1"/>
  <c r="U23" i="1"/>
  <c r="V23" i="1" s="1"/>
  <c r="U31" i="1"/>
  <c r="V31" i="1" s="1"/>
  <c r="U10" i="1"/>
  <c r="V10" i="1" s="1"/>
  <c r="U18" i="1"/>
  <c r="V18" i="1" s="1"/>
  <c r="U26" i="1"/>
  <c r="V26" i="1" s="1"/>
  <c r="U34" i="1"/>
  <c r="V34" i="1" s="1"/>
  <c r="U5" i="1"/>
  <c r="U13" i="1"/>
  <c r="V13" i="1" s="1"/>
  <c r="U21" i="1"/>
  <c r="V21" i="1" s="1"/>
  <c r="U29" i="1"/>
  <c r="V29" i="1" s="1"/>
  <c r="U8" i="1"/>
  <c r="V8" i="1" s="1"/>
  <c r="U16" i="1"/>
  <c r="V16" i="1" s="1"/>
  <c r="U24" i="1"/>
  <c r="V24" i="1" s="1"/>
  <c r="U32" i="1"/>
  <c r="V32" i="1" s="1"/>
  <c r="U11" i="1"/>
  <c r="V11" i="1" s="1"/>
  <c r="U19" i="1"/>
  <c r="V19" i="1" s="1"/>
  <c r="U27" i="1"/>
  <c r="V27" i="1" s="1"/>
  <c r="U33" i="1"/>
  <c r="V33" i="1" s="1"/>
  <c r="U36" i="12" l="1"/>
  <c r="U36" i="3"/>
  <c r="U36" i="6"/>
  <c r="V36" i="6" s="1"/>
  <c r="U36" i="13"/>
  <c r="V36" i="13" s="1"/>
  <c r="U36" i="5"/>
  <c r="V36" i="5" s="1"/>
  <c r="U36" i="9"/>
  <c r="V36" i="9" s="1"/>
  <c r="V6" i="12"/>
  <c r="U36" i="7"/>
  <c r="V36" i="7" s="1"/>
  <c r="V19" i="13"/>
  <c r="V36" i="12"/>
  <c r="V6" i="11"/>
  <c r="U36" i="10"/>
  <c r="V36" i="10" s="1"/>
  <c r="V31" i="9"/>
  <c r="U36" i="8"/>
  <c r="V36" i="8" s="1"/>
  <c r="V10" i="7"/>
  <c r="U36" i="2"/>
  <c r="V36" i="2" s="1"/>
  <c r="U36" i="4"/>
  <c r="V36" i="4" s="1"/>
  <c r="V36" i="3"/>
  <c r="V10" i="3"/>
  <c r="U36" i="1"/>
  <c r="V36" i="1" s="1"/>
  <c r="V5" i="1"/>
</calcChain>
</file>

<file path=xl/sharedStrings.xml><?xml version="1.0" encoding="utf-8"?>
<sst xmlns="http://schemas.openxmlformats.org/spreadsheetml/2006/main" count="637" uniqueCount="43">
  <si>
    <t>Sales Summary</t>
  </si>
  <si>
    <t>Month:</t>
  </si>
  <si>
    <t>DECEMBER</t>
  </si>
  <si>
    <t>DAILY</t>
  </si>
  <si>
    <t>DATE</t>
  </si>
  <si>
    <t>ETET</t>
  </si>
  <si>
    <t>SHA</t>
  </si>
  <si>
    <t>VIC</t>
  </si>
  <si>
    <t>AMY</t>
  </si>
  <si>
    <t>JANE</t>
  </si>
  <si>
    <t>ZYKA</t>
  </si>
  <si>
    <t>JESS</t>
  </si>
  <si>
    <t>AGNES</t>
  </si>
  <si>
    <t>RONA</t>
  </si>
  <si>
    <t>IKA</t>
  </si>
  <si>
    <t>CYRIL</t>
  </si>
  <si>
    <t>JEPOY</t>
  </si>
  <si>
    <t>BERT</t>
  </si>
  <si>
    <t>INA</t>
  </si>
  <si>
    <t>MICH</t>
  </si>
  <si>
    <t>add staff</t>
  </si>
  <si>
    <t>GROSS</t>
  </si>
  <si>
    <t>EXP</t>
  </si>
  <si>
    <t>COMI</t>
  </si>
  <si>
    <t>NET SALES</t>
  </si>
  <si>
    <t>rose</t>
  </si>
  <si>
    <t>TOTAL</t>
  </si>
  <si>
    <t>Mich</t>
  </si>
  <si>
    <t>Year: 2026</t>
  </si>
  <si>
    <t>JANUARY</t>
  </si>
  <si>
    <t>FEBRUARY</t>
  </si>
  <si>
    <t>Maarch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</si>
  <si>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</si>
  <si>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</si>
  <si>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</si>
  <si>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</si>
  <si>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</si>
  <si>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</si>
  <si>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</si>
  <si>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</si>
  <si>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janrick</t>
  </si>
  <si>
    <t>julie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</si>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</sst>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A5E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2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3" xfId="0" applyFill="1" applyBorder="1"/>
    <xf numFmtId="14" fontId="0" fillId="0" borderId="1" xfId="0" applyNumberFormat="1" applyBorder="1"/>
    <xf numFmtId="164" fontId="0" fillId="4" borderId="1" xfId="1" applyNumberFormat="1" applyFont="1" applyFill="1" applyBorder="1"/>
    <xf numFmtId="164" fontId="0" fillId="5" borderId="1" xfId="1" applyNumberFormat="1" applyFont="1" applyFill="1" applyBorder="1"/>
    <xf numFmtId="164" fontId="0" fillId="0" borderId="1" xfId="1" applyNumberFormat="1" applyFont="1" applyBorder="1"/>
    <xf numFmtId="164" fontId="0" fillId="3" borderId="1" xfId="1" applyNumberFormat="1" applyFont="1" applyFill="1" applyBorder="1"/>
    <xf numFmtId="164" fontId="0" fillId="3" borderId="2" xfId="1" applyNumberFormat="1" applyFont="1" applyFill="1" applyBorder="1"/>
    <xf numFmtId="164" fontId="0" fillId="8" borderId="1" xfId="1" applyNumberFormat="1" applyFont="1" applyFill="1" applyBorder="1"/>
    <xf numFmtId="164" fontId="0" fillId="7" borderId="1" xfId="1" applyNumberFormat="1" applyFont="1" applyFill="1" applyBorder="1"/>
    <xf numFmtId="164" fontId="0" fillId="7" borderId="1" xfId="1" quotePrefix="1" applyNumberFormat="1" applyFont="1" applyFill="1" applyBorder="1"/>
    <xf numFmtId="43" fontId="0" fillId="8" borderId="1" xfId="1" applyFont="1" applyFill="1" applyBorder="1"/>
    <xf numFmtId="0" fontId="0" fillId="0" borderId="1" xfId="0" applyBorder="1"/>
    <xf numFmtId="164" fontId="2" fillId="6" borderId="1" xfId="1" applyNumberFormat="1" applyFont="1" applyFill="1" applyBorder="1"/>
    <xf numFmtId="164" fontId="2" fillId="9" borderId="1" xfId="1" applyNumberFormat="1" applyFont="1" applyFill="1" applyBorder="1"/>
    <xf numFmtId="43" fontId="2" fillId="6" borderId="1" xfId="1" applyFont="1" applyFill="1" applyBorder="1"/>
    <xf numFmtId="164" fontId="2" fillId="6" borderId="3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9CA4-4FEF-494B-8971-230F5FD3B4BD}">
  <dimension ref="A1:W37"/>
  <sheetViews>
    <sheetView zoomScale="138" workbookViewId="0">
      <selection activeCell="C15" sqref="C15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29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46023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46024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46025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46026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46027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46028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46029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46030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46031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46032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46033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46034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46035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46036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46037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46038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46039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46040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46041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46042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46043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46044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46045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46046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46047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46048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46049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46050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46051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46052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>
        <v>46053</v>
      </c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D25A-0F94-254E-AEC3-0EFED0D6B07A}">
  <dimension ref="A1:W37"/>
  <sheetViews>
    <sheetView topLeftCell="A10" workbookViewId="0">
      <selection activeCell="M25" sqref="M25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30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46054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46055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46056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46057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46058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46059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46060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46061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46062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46063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46064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46065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46066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46067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46068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46069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46070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46071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46072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46073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46074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46075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46076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46077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46078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46079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46080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46081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/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/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/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10F1-6D92-8942-8D04-A5884924F1F5}">
  <dimension ref="A1:W37"/>
  <sheetViews>
    <sheetView topLeftCell="A20" workbookViewId="0">
      <selection activeCell="C31" sqref="C31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31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46082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46083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46084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46085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46086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46087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46088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46089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46090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46091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46092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46093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46094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46095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46096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46097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46098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46099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46100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46101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46102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46103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46104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46105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46106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46107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46108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46109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46110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46111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>
        <v>46112</v>
      </c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5A6B-FEC4-E84B-8241-5CDA740CD35B}">
  <dimension ref="A1:W37"/>
  <sheetViews>
    <sheetView tabSelected="1" topLeftCell="E16" zoomScale="125" workbookViewId="0">
      <selection activeCell="H4" sqref="H4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32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200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40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46113</v>
      </c>
      <c r="B5" s="10"/>
      <c r="C5" s="11">
        <v>2588</v>
      </c>
      <c r="D5" s="10">
        <v>1120</v>
      </c>
      <c r="E5" s="11">
        <v>2229</v>
      </c>
      <c r="F5" s="12"/>
      <c r="G5" s="11">
        <v>1903</v>
      </c>
      <c r="H5" s="10">
        <v>1502</v>
      </c>
      <c r="I5" s="11">
        <v>1120</v>
      </c>
      <c r="J5" s="12">
        <v>1446</v>
      </c>
      <c r="K5" s="13">
        <v>1210</v>
      </c>
      <c r="L5" s="13"/>
      <c r="M5" s="11">
        <v>1160</v>
      </c>
      <c r="N5" s="10"/>
      <c r="O5" s="11">
        <v>594</v>
      </c>
      <c r="P5" s="14"/>
      <c r="Q5" s="14"/>
      <c r="R5" s="15">
        <f>(B5+C5+D5+E5+F5+G5+H5+I5+J5+K5+L5+M5+N5+O5+P5+Q5)</f>
        <v>14872</v>
      </c>
      <c r="S5" s="16">
        <v>357</v>
      </c>
      <c r="T5" s="17">
        <v>2850</v>
      </c>
      <c r="U5" s="17">
        <f>(R5*0.9*0.4)</f>
        <v>5353.920000000001</v>
      </c>
      <c r="V5" s="18">
        <f>(R5-S5-T5-U5)</f>
        <v>6311.079999999999</v>
      </c>
    </row>
    <row r="6" spans="1:23" x14ac:dyDescent="0.2">
      <c r="A6" s="9">
        <v>46114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46115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46116</v>
      </c>
      <c r="B8" s="10"/>
      <c r="C8" s="11">
        <v>2175</v>
      </c>
      <c r="D8" s="10"/>
      <c r="E8" s="11">
        <v>1580</v>
      </c>
      <c r="F8" s="12">
        <v>835</v>
      </c>
      <c r="G8" s="11">
        <v>1460</v>
      </c>
      <c r="H8" s="10">
        <v>2014</v>
      </c>
      <c r="I8" s="11">
        <v>1850</v>
      </c>
      <c r="J8" s="12">
        <v>1635</v>
      </c>
      <c r="K8" s="13">
        <v>821</v>
      </c>
      <c r="L8" s="13"/>
      <c r="M8" s="11"/>
      <c r="N8" s="10">
        <v>6760</v>
      </c>
      <c r="O8" s="11"/>
      <c r="P8" s="13"/>
      <c r="Q8" s="13"/>
      <c r="R8" s="15">
        <f t="shared" si="0"/>
        <v>19130</v>
      </c>
      <c r="S8" s="16">
        <v>198</v>
      </c>
      <c r="T8" s="16">
        <v>2900</v>
      </c>
      <c r="U8" s="17">
        <f t="shared" si="1"/>
        <v>6886.8</v>
      </c>
      <c r="V8" s="18">
        <f t="shared" ref="V8:V36" si="2">(R8-S8-T8-U8)</f>
        <v>9145.2000000000007</v>
      </c>
    </row>
    <row r="9" spans="1:23" x14ac:dyDescent="0.2">
      <c r="A9" s="9">
        <v>46117</v>
      </c>
      <c r="B9" s="10"/>
      <c r="C9" s="11">
        <v>845</v>
      </c>
      <c r="D9" s="10">
        <v>1125</v>
      </c>
      <c r="E9" s="11">
        <v>1539</v>
      </c>
      <c r="F9" s="12">
        <v>1120</v>
      </c>
      <c r="G9" s="11">
        <v>1200</v>
      </c>
      <c r="H9" s="10">
        <v>1365</v>
      </c>
      <c r="I9" s="11">
        <v>1805</v>
      </c>
      <c r="J9" s="12">
        <v>1510</v>
      </c>
      <c r="K9" s="13"/>
      <c r="L9" s="13"/>
      <c r="M9" s="11"/>
      <c r="N9" s="10">
        <v>2760</v>
      </c>
      <c r="O9" s="11"/>
      <c r="P9" s="13"/>
      <c r="Q9" s="13"/>
      <c r="R9" s="15">
        <f t="shared" si="0"/>
        <v>13269</v>
      </c>
      <c r="S9" s="16">
        <v>179</v>
      </c>
      <c r="T9" s="16">
        <v>2750</v>
      </c>
      <c r="U9" s="17">
        <f t="shared" si="1"/>
        <v>4776.84</v>
      </c>
      <c r="V9" s="18">
        <f t="shared" si="2"/>
        <v>5563.16</v>
      </c>
    </row>
    <row r="10" spans="1:23" x14ac:dyDescent="0.2">
      <c r="A10" s="9">
        <v>46118</v>
      </c>
      <c r="B10" s="10"/>
      <c r="C10" s="11">
        <v>2473</v>
      </c>
      <c r="D10" s="10"/>
      <c r="E10" s="11">
        <v>1820</v>
      </c>
      <c r="F10" s="12"/>
      <c r="G10" s="11">
        <v>1378</v>
      </c>
      <c r="H10" s="10">
        <v>1120</v>
      </c>
      <c r="I10" s="11">
        <v>2169</v>
      </c>
      <c r="J10" s="12">
        <v>1211</v>
      </c>
      <c r="K10" s="13"/>
      <c r="L10" s="13"/>
      <c r="M10" s="11"/>
      <c r="N10" s="10"/>
      <c r="O10" s="11">
        <v>665</v>
      </c>
      <c r="P10" s="13"/>
      <c r="Q10" s="13"/>
      <c r="R10" s="15">
        <f t="shared" si="0"/>
        <v>10836</v>
      </c>
      <c r="S10" s="16">
        <v>125</v>
      </c>
      <c r="T10" s="16">
        <v>1600</v>
      </c>
      <c r="U10" s="17">
        <f t="shared" si="1"/>
        <v>3900.96</v>
      </c>
      <c r="V10" s="18">
        <f t="shared" si="2"/>
        <v>5210.04</v>
      </c>
    </row>
    <row r="11" spans="1:23" x14ac:dyDescent="0.2">
      <c r="A11" s="9">
        <v>46119</v>
      </c>
      <c r="B11" s="10"/>
      <c r="C11" s="11">
        <v>993</v>
      </c>
      <c r="D11" s="10">
        <v>1225</v>
      </c>
      <c r="E11" s="11">
        <v>1067</v>
      </c>
      <c r="F11" s="12"/>
      <c r="G11" s="11">
        <v>1242</v>
      </c>
      <c r="H11" s="10">
        <v>1320</v>
      </c>
      <c r="I11" s="11"/>
      <c r="J11" s="12"/>
      <c r="K11" s="13"/>
      <c r="L11" s="13"/>
      <c r="M11" s="11"/>
      <c r="N11" s="10"/>
      <c r="O11" s="11"/>
      <c r="P11" s="13">
        <v>450</v>
      </c>
      <c r="Q11" s="13"/>
      <c r="R11" s="15">
        <f t="shared" si="0"/>
        <v>6297</v>
      </c>
      <c r="S11" s="16">
        <v>1533</v>
      </c>
      <c r="T11" s="16">
        <v>1550</v>
      </c>
      <c r="U11" s="17">
        <f t="shared" si="1"/>
        <v>2266.92</v>
      </c>
      <c r="V11" s="18">
        <f t="shared" si="2"/>
        <v>947.07999999999993</v>
      </c>
    </row>
    <row r="12" spans="1:23" x14ac:dyDescent="0.2">
      <c r="A12" s="9">
        <v>46120</v>
      </c>
      <c r="B12" s="10"/>
      <c r="C12" s="11"/>
      <c r="D12" s="10">
        <v>960</v>
      </c>
      <c r="E12" s="11"/>
      <c r="F12" s="12">
        <v>5020</v>
      </c>
      <c r="G12" s="11"/>
      <c r="H12" s="10">
        <v>1448</v>
      </c>
      <c r="I12" s="11">
        <v>1760</v>
      </c>
      <c r="J12" s="12">
        <v>1265</v>
      </c>
      <c r="K12" s="13"/>
      <c r="L12" s="13"/>
      <c r="M12" s="11"/>
      <c r="N12" s="10"/>
      <c r="O12" s="11">
        <v>175</v>
      </c>
      <c r="P12" s="13">
        <v>1275</v>
      </c>
      <c r="Q12" s="13"/>
      <c r="R12" s="15">
        <f t="shared" si="0"/>
        <v>11903</v>
      </c>
      <c r="S12" s="16"/>
      <c r="T12" s="16">
        <v>2100</v>
      </c>
      <c r="U12" s="17">
        <f t="shared" si="1"/>
        <v>4285.0800000000008</v>
      </c>
      <c r="V12" s="18">
        <f t="shared" si="2"/>
        <v>5517.9199999999992</v>
      </c>
      <c r="W12">
        <v>4745</v>
      </c>
    </row>
    <row r="13" spans="1:23" x14ac:dyDescent="0.2">
      <c r="A13" s="9">
        <v>46121</v>
      </c>
      <c r="B13" s="10"/>
      <c r="C13" s="11">
        <v>1580</v>
      </c>
      <c r="D13" s="10">
        <v>2035</v>
      </c>
      <c r="E13" s="11">
        <v>2030</v>
      </c>
      <c r="F13" s="12">
        <v>1240</v>
      </c>
      <c r="G13" s="11">
        <v>1770</v>
      </c>
      <c r="H13" s="10"/>
      <c r="I13" s="11">
        <v>1515</v>
      </c>
      <c r="J13" s="12">
        <v>1450</v>
      </c>
      <c r="K13" s="13"/>
      <c r="L13" s="13"/>
      <c r="M13" s="11"/>
      <c r="N13" s="10">
        <v>3510</v>
      </c>
      <c r="O13" s="11"/>
      <c r="P13" s="13"/>
      <c r="Q13" s="13">
        <v>3230</v>
      </c>
      <c r="R13" s="15">
        <f t="shared" si="0"/>
        <v>15130</v>
      </c>
      <c r="S13" s="16"/>
      <c r="T13" s="16">
        <v>2750</v>
      </c>
      <c r="U13" s="17">
        <f t="shared" si="1"/>
        <v>5446.8</v>
      </c>
      <c r="V13" s="18">
        <f t="shared" si="2"/>
        <v>6933.2</v>
      </c>
      <c r="W13">
        <v>3000</v>
      </c>
    </row>
    <row r="14" spans="1:23" x14ac:dyDescent="0.2">
      <c r="A14" s="9">
        <v>46122</v>
      </c>
      <c r="B14" s="10"/>
      <c r="C14" s="11">
        <v>2148</v>
      </c>
      <c r="D14" s="10">
        <v>650</v>
      </c>
      <c r="E14" s="11">
        <v>3305</v>
      </c>
      <c r="F14" s="12">
        <v>1475</v>
      </c>
      <c r="G14" s="11">
        <v>1707</v>
      </c>
      <c r="H14" s="10">
        <v>1990</v>
      </c>
      <c r="I14" s="11">
        <v>1595</v>
      </c>
      <c r="J14" s="12"/>
      <c r="K14" s="13"/>
      <c r="L14" s="13"/>
      <c r="M14" s="11"/>
      <c r="N14" s="10">
        <v>2560</v>
      </c>
      <c r="O14" s="11"/>
      <c r="P14" s="13"/>
      <c r="Q14" s="13">
        <v>10710</v>
      </c>
      <c r="R14" s="15">
        <f t="shared" si="0"/>
        <v>15430</v>
      </c>
      <c r="S14" s="16">
        <v>711</v>
      </c>
      <c r="T14" s="16">
        <v>2800</v>
      </c>
      <c r="U14" s="17">
        <f t="shared" si="1"/>
        <v>5554.8</v>
      </c>
      <c r="V14" s="18">
        <f>(R14-S14-T14-U14)</f>
        <v>6364.2</v>
      </c>
    </row>
    <row r="15" spans="1:23" x14ac:dyDescent="0.2">
      <c r="A15" s="9">
        <v>46123</v>
      </c>
      <c r="B15" s="10"/>
      <c r="C15" s="11">
        <v>2437</v>
      </c>
      <c r="D15" s="10"/>
      <c r="E15" s="11">
        <v>1840</v>
      </c>
      <c r="F15" s="12">
        <v>3770</v>
      </c>
      <c r="G15" s="11">
        <v>2768</v>
      </c>
      <c r="H15" s="10">
        <v>2048</v>
      </c>
      <c r="I15" s="11">
        <v>2005</v>
      </c>
      <c r="J15" s="12">
        <v>2270</v>
      </c>
      <c r="K15" s="13"/>
      <c r="L15" s="13"/>
      <c r="M15" s="11"/>
      <c r="N15" s="10">
        <v>3360</v>
      </c>
      <c r="O15" s="11"/>
      <c r="P15" s="13"/>
      <c r="Q15" s="13">
        <v>1250</v>
      </c>
      <c r="R15" s="15">
        <f t="shared" si="0"/>
        <v>20498</v>
      </c>
      <c r="S15" s="16">
        <v>400</v>
      </c>
      <c r="T15" s="16">
        <v>2950</v>
      </c>
      <c r="U15" s="17">
        <f t="shared" si="1"/>
        <v>7379.2800000000007</v>
      </c>
      <c r="V15" s="18">
        <f>(R15-S15-T15-U15)</f>
        <v>9768.7199999999993</v>
      </c>
      <c r="W15">
        <v>8490</v>
      </c>
    </row>
    <row r="16" spans="1:23" x14ac:dyDescent="0.2">
      <c r="A16" s="9">
        <v>46124</v>
      </c>
      <c r="B16" s="10"/>
      <c r="C16" s="11">
        <v>2950</v>
      </c>
      <c r="D16" s="10"/>
      <c r="E16" s="11"/>
      <c r="F16" s="12">
        <v>3760</v>
      </c>
      <c r="G16" s="11">
        <v>1625</v>
      </c>
      <c r="H16" s="10">
        <v>1898</v>
      </c>
      <c r="I16" s="11">
        <v>2000</v>
      </c>
      <c r="J16" s="12">
        <v>2325</v>
      </c>
      <c r="K16" s="13"/>
      <c r="L16" s="13"/>
      <c r="M16" s="11"/>
      <c r="N16" s="10">
        <v>2020</v>
      </c>
      <c r="O16" s="11"/>
      <c r="P16" s="13">
        <v>333</v>
      </c>
      <c r="Q16" s="13">
        <v>4550</v>
      </c>
      <c r="R16" s="15">
        <f t="shared" si="0"/>
        <v>16911</v>
      </c>
      <c r="S16" s="16"/>
      <c r="T16" s="16">
        <v>2700</v>
      </c>
      <c r="U16" s="17">
        <f t="shared" si="1"/>
        <v>6087.96</v>
      </c>
      <c r="V16" s="18">
        <f t="shared" si="2"/>
        <v>8123.04</v>
      </c>
    </row>
    <row r="17" spans="1:23" x14ac:dyDescent="0.2">
      <c r="A17" s="9">
        <v>46125</v>
      </c>
      <c r="B17" s="10"/>
      <c r="C17" s="11">
        <v>2280</v>
      </c>
      <c r="D17" s="10">
        <v>915</v>
      </c>
      <c r="E17" s="11"/>
      <c r="F17" s="12">
        <v>2120</v>
      </c>
      <c r="G17" s="11">
        <v>1755</v>
      </c>
      <c r="H17" s="10">
        <v>1596</v>
      </c>
      <c r="I17" s="11">
        <v>2160</v>
      </c>
      <c r="J17" s="12">
        <v>1730</v>
      </c>
      <c r="K17" s="13"/>
      <c r="L17" s="13"/>
      <c r="M17" s="11"/>
      <c r="N17" s="10"/>
      <c r="O17" s="11"/>
      <c r="P17" s="13"/>
      <c r="Q17" s="13">
        <v>7200</v>
      </c>
      <c r="R17" s="15">
        <f t="shared" si="0"/>
        <v>12556</v>
      </c>
      <c r="S17" s="16"/>
      <c r="T17" s="16">
        <v>2000</v>
      </c>
      <c r="U17" s="17">
        <f t="shared" si="1"/>
        <v>4520.16</v>
      </c>
      <c r="V17" s="18">
        <f t="shared" si="2"/>
        <v>6035.84</v>
      </c>
      <c r="W17">
        <v>10000</v>
      </c>
    </row>
    <row r="18" spans="1:23" x14ac:dyDescent="0.2">
      <c r="A18" s="9">
        <v>46126</v>
      </c>
      <c r="B18" s="10"/>
      <c r="C18" s="11"/>
      <c r="D18" s="10"/>
      <c r="E18" s="11">
        <v>2075</v>
      </c>
      <c r="F18" s="12">
        <v>1575</v>
      </c>
      <c r="G18" s="11">
        <v>1665</v>
      </c>
      <c r="H18" s="10">
        <v>1115</v>
      </c>
      <c r="I18" s="11"/>
      <c r="J18" s="12">
        <v>945</v>
      </c>
      <c r="K18" s="13"/>
      <c r="L18" s="13"/>
      <c r="M18" s="11"/>
      <c r="N18" s="10">
        <v>3510</v>
      </c>
      <c r="O18" s="11"/>
      <c r="P18" s="13"/>
      <c r="Q18" s="13">
        <v>600</v>
      </c>
      <c r="R18" s="15">
        <f t="shared" si="0"/>
        <v>10885</v>
      </c>
      <c r="S18" s="16">
        <v>4046</v>
      </c>
      <c r="T18" s="16">
        <v>2350</v>
      </c>
      <c r="U18" s="17">
        <f t="shared" si="1"/>
        <v>3918.6000000000004</v>
      </c>
      <c r="V18" s="18">
        <f t="shared" si="2"/>
        <v>570.39999999999964</v>
      </c>
    </row>
    <row r="19" spans="1:23" x14ac:dyDescent="0.2">
      <c r="A19" s="9">
        <v>46127</v>
      </c>
      <c r="B19" s="10"/>
      <c r="C19" s="11">
        <v>2180</v>
      </c>
      <c r="D19" s="10">
        <v>865</v>
      </c>
      <c r="E19" s="11">
        <v>1078</v>
      </c>
      <c r="F19" s="12">
        <v>1460</v>
      </c>
      <c r="G19" s="11"/>
      <c r="H19" s="10">
        <v>1225</v>
      </c>
      <c r="I19" s="11"/>
      <c r="J19" s="12">
        <v>1868</v>
      </c>
      <c r="K19" s="13"/>
      <c r="L19" s="13"/>
      <c r="M19" s="11"/>
      <c r="N19" s="10">
        <v>5540</v>
      </c>
      <c r="O19" s="11"/>
      <c r="P19" s="13"/>
      <c r="Q19" s="13">
        <v>1920</v>
      </c>
      <c r="R19" s="15">
        <f t="shared" si="0"/>
        <v>14216</v>
      </c>
      <c r="S19" s="16">
        <v>1021</v>
      </c>
      <c r="T19" s="16">
        <v>2050</v>
      </c>
      <c r="U19" s="17">
        <f t="shared" si="1"/>
        <v>5117.76</v>
      </c>
      <c r="V19" s="18">
        <f t="shared" si="2"/>
        <v>6027.24</v>
      </c>
      <c r="W19">
        <v>2500</v>
      </c>
    </row>
    <row r="20" spans="1:23" x14ac:dyDescent="0.2">
      <c r="A20" s="9">
        <v>46128</v>
      </c>
      <c r="B20" s="10"/>
      <c r="C20" s="11">
        <v>3345</v>
      </c>
      <c r="D20" s="10">
        <v>2338</v>
      </c>
      <c r="E20" s="11">
        <v>2539</v>
      </c>
      <c r="F20" s="12">
        <v>1785</v>
      </c>
      <c r="G20" s="11">
        <v>2885</v>
      </c>
      <c r="H20" s="10"/>
      <c r="I20" s="11">
        <v>1965</v>
      </c>
      <c r="J20" s="12">
        <v>1900</v>
      </c>
      <c r="K20" s="13"/>
      <c r="L20" s="13">
        <v>580</v>
      </c>
      <c r="M20" s="11"/>
      <c r="N20" s="10">
        <v>650</v>
      </c>
      <c r="O20" s="11"/>
      <c r="P20" s="13"/>
      <c r="Q20" s="13"/>
      <c r="R20" s="15">
        <f t="shared" si="0"/>
        <v>17987</v>
      </c>
      <c r="S20" s="16">
        <v>9909</v>
      </c>
      <c r="T20" s="16">
        <v>2750</v>
      </c>
      <c r="U20" s="17">
        <f t="shared" si="1"/>
        <v>6475.3200000000006</v>
      </c>
      <c r="V20" s="18">
        <f t="shared" si="2"/>
        <v>-1147.3200000000006</v>
      </c>
      <c r="W20">
        <v>2645</v>
      </c>
    </row>
    <row r="21" spans="1:23" x14ac:dyDescent="0.2">
      <c r="A21" s="9">
        <v>46129</v>
      </c>
      <c r="B21" s="10"/>
      <c r="C21" s="11">
        <v>1465</v>
      </c>
      <c r="D21" s="10">
        <v>1500</v>
      </c>
      <c r="E21" s="11">
        <v>1475</v>
      </c>
      <c r="F21" s="12">
        <v>1310</v>
      </c>
      <c r="G21" s="11">
        <v>1555</v>
      </c>
      <c r="H21" s="10">
        <v>1460</v>
      </c>
      <c r="I21" s="11">
        <v>1330</v>
      </c>
      <c r="J21" s="12">
        <v>2080</v>
      </c>
      <c r="K21" s="13"/>
      <c r="L21" s="13">
        <v>1170</v>
      </c>
      <c r="M21" s="11"/>
      <c r="N21" s="10">
        <v>1380</v>
      </c>
      <c r="O21" s="11"/>
      <c r="P21" s="13"/>
      <c r="Q21" s="13"/>
      <c r="R21" s="15">
        <f t="shared" si="0"/>
        <v>14725</v>
      </c>
      <c r="S21" s="16"/>
      <c r="T21" s="16">
        <v>2950</v>
      </c>
      <c r="U21" s="17">
        <f t="shared" si="1"/>
        <v>5301</v>
      </c>
      <c r="V21" s="18">
        <f t="shared" si="2"/>
        <v>6474</v>
      </c>
    </row>
    <row r="22" spans="1:23" x14ac:dyDescent="0.2">
      <c r="A22" s="9">
        <v>46130</v>
      </c>
      <c r="B22" s="10"/>
      <c r="C22" s="11">
        <v>2095</v>
      </c>
      <c r="D22" s="10">
        <v>1545</v>
      </c>
      <c r="E22" s="11">
        <v>3037</v>
      </c>
      <c r="F22" s="12">
        <v>1893</v>
      </c>
      <c r="G22" s="11">
        <v>2672</v>
      </c>
      <c r="H22" s="10">
        <v>1982</v>
      </c>
      <c r="I22" s="11">
        <v>2365</v>
      </c>
      <c r="J22" s="12">
        <v>2333</v>
      </c>
      <c r="K22" s="13"/>
      <c r="L22" s="13">
        <v>4800</v>
      </c>
      <c r="M22" s="11"/>
      <c r="N22" s="10">
        <v>970</v>
      </c>
      <c r="O22" s="11"/>
      <c r="P22" s="13"/>
      <c r="Q22" s="13"/>
      <c r="R22" s="15">
        <f t="shared" si="0"/>
        <v>23692</v>
      </c>
      <c r="S22" s="16">
        <v>30</v>
      </c>
      <c r="T22" s="16">
        <v>2950</v>
      </c>
      <c r="U22" s="17">
        <f t="shared" si="1"/>
        <v>8529.1200000000008</v>
      </c>
      <c r="V22" s="18">
        <f t="shared" si="2"/>
        <v>12182.88</v>
      </c>
    </row>
    <row r="23" spans="1:23" x14ac:dyDescent="0.2">
      <c r="A23" s="9">
        <v>46131</v>
      </c>
      <c r="B23" s="10"/>
      <c r="C23" s="11">
        <v>2332</v>
      </c>
      <c r="D23" s="10">
        <v>1265</v>
      </c>
      <c r="E23" s="11">
        <v>5330</v>
      </c>
      <c r="F23" s="12">
        <v>1573</v>
      </c>
      <c r="G23" s="11">
        <v>1640</v>
      </c>
      <c r="H23" s="10">
        <v>1008</v>
      </c>
      <c r="I23" s="11">
        <v>1835</v>
      </c>
      <c r="J23" s="12">
        <v>1653</v>
      </c>
      <c r="K23" s="13"/>
      <c r="L23" s="13">
        <v>4360</v>
      </c>
      <c r="M23" s="11"/>
      <c r="N23" s="10"/>
      <c r="O23" s="11"/>
      <c r="P23" s="13"/>
      <c r="Q23" s="13"/>
      <c r="R23" s="15">
        <f t="shared" si="0"/>
        <v>20996</v>
      </c>
      <c r="S23" s="16"/>
      <c r="T23" s="16">
        <v>2750</v>
      </c>
      <c r="U23" s="17">
        <f t="shared" si="1"/>
        <v>7558.5600000000013</v>
      </c>
      <c r="V23" s="18">
        <f t="shared" si="2"/>
        <v>10687.439999999999</v>
      </c>
    </row>
    <row r="24" spans="1:23" x14ac:dyDescent="0.2">
      <c r="A24" s="9">
        <v>46132</v>
      </c>
      <c r="B24" s="10"/>
      <c r="C24" s="11">
        <v>1940</v>
      </c>
      <c r="D24" s="10">
        <v>920</v>
      </c>
      <c r="E24" s="11">
        <v>2208</v>
      </c>
      <c r="F24" s="12"/>
      <c r="G24" s="11">
        <v>1253</v>
      </c>
      <c r="H24" s="10">
        <v>1340</v>
      </c>
      <c r="I24" s="11">
        <v>1910</v>
      </c>
      <c r="J24" s="12">
        <v>1405</v>
      </c>
      <c r="K24" s="13"/>
      <c r="L24" s="13">
        <v>5530</v>
      </c>
      <c r="M24" s="11"/>
      <c r="N24" s="10"/>
      <c r="O24" s="11"/>
      <c r="P24" s="13"/>
      <c r="Q24" s="13"/>
      <c r="R24" s="15">
        <f t="shared" si="0"/>
        <v>16506</v>
      </c>
      <c r="S24" s="16"/>
      <c r="T24" s="16">
        <v>1690</v>
      </c>
      <c r="U24" s="17">
        <f t="shared" si="1"/>
        <v>5942.16</v>
      </c>
      <c r="V24" s="18">
        <f t="shared" si="2"/>
        <v>8873.84</v>
      </c>
    </row>
    <row r="25" spans="1:23" x14ac:dyDescent="0.2">
      <c r="A25" s="9">
        <v>46133</v>
      </c>
      <c r="B25" s="10"/>
      <c r="C25" s="11"/>
      <c r="D25" s="10">
        <v>970</v>
      </c>
      <c r="E25" s="11">
        <v>1608</v>
      </c>
      <c r="F25" s="12"/>
      <c r="G25" s="11">
        <v>1623</v>
      </c>
      <c r="H25" s="10">
        <v>1040</v>
      </c>
      <c r="I25" s="11"/>
      <c r="J25" s="12">
        <v>1703</v>
      </c>
      <c r="K25" s="13"/>
      <c r="L25" s="13"/>
      <c r="M25" s="11"/>
      <c r="N25" s="10">
        <v>4940</v>
      </c>
      <c r="O25" s="11"/>
      <c r="P25" s="13"/>
      <c r="Q25" s="13"/>
      <c r="R25" s="15">
        <f t="shared" si="0"/>
        <v>11884</v>
      </c>
      <c r="S25" s="16">
        <v>921</v>
      </c>
      <c r="T25" s="16">
        <v>1900</v>
      </c>
      <c r="U25" s="17">
        <f t="shared" si="1"/>
        <v>4278.2400000000007</v>
      </c>
      <c r="V25" s="18">
        <f t="shared" si="2"/>
        <v>4784.7599999999993</v>
      </c>
    </row>
    <row r="26" spans="1:23" x14ac:dyDescent="0.2">
      <c r="A26" s="9">
        <v>46134</v>
      </c>
      <c r="B26" s="10"/>
      <c r="C26" s="11">
        <v>3087</v>
      </c>
      <c r="D26" s="10">
        <v>2482</v>
      </c>
      <c r="E26" s="11"/>
      <c r="F26" s="12">
        <v>2980</v>
      </c>
      <c r="G26" s="11"/>
      <c r="H26" s="10">
        <v>2015</v>
      </c>
      <c r="I26" s="11">
        <v>2490</v>
      </c>
      <c r="J26" s="12">
        <v>2407</v>
      </c>
      <c r="K26" s="13"/>
      <c r="L26" s="13">
        <v>950</v>
      </c>
      <c r="M26" s="11"/>
      <c r="N26" s="10">
        <v>1080</v>
      </c>
      <c r="O26" s="11"/>
      <c r="P26" s="13"/>
      <c r="Q26" s="13"/>
      <c r="R26" s="15">
        <f t="shared" si="0"/>
        <v>17491</v>
      </c>
      <c r="S26" s="16"/>
      <c r="T26" s="16">
        <v>2000</v>
      </c>
      <c r="U26" s="17">
        <f t="shared" si="1"/>
        <v>6296.76</v>
      </c>
      <c r="V26" s="18">
        <f t="shared" si="2"/>
        <v>9194.24</v>
      </c>
    </row>
    <row r="27" spans="1:23" x14ac:dyDescent="0.2">
      <c r="A27" s="9">
        <v>46135</v>
      </c>
      <c r="B27" s="10"/>
      <c r="C27" s="11">
        <v>2338</v>
      </c>
      <c r="D27" s="10">
        <v>1860</v>
      </c>
      <c r="E27" s="11">
        <v>3974</v>
      </c>
      <c r="F27" s="12">
        <v>2774</v>
      </c>
      <c r="G27" s="11">
        <v>1815</v>
      </c>
      <c r="H27" s="10"/>
      <c r="I27" s="11">
        <v>1808</v>
      </c>
      <c r="J27" s="12">
        <v>1678</v>
      </c>
      <c r="K27" s="13"/>
      <c r="L27" s="13">
        <v>1030</v>
      </c>
      <c r="M27" s="11"/>
      <c r="N27" s="10">
        <v>1120</v>
      </c>
      <c r="O27" s="11"/>
      <c r="P27" s="13">
        <v>158</v>
      </c>
      <c r="Q27" s="13"/>
      <c r="R27" s="15">
        <f t="shared" si="0"/>
        <v>18555</v>
      </c>
      <c r="S27" s="16"/>
      <c r="T27" s="16">
        <v>2750</v>
      </c>
      <c r="U27" s="17">
        <f t="shared" si="1"/>
        <v>6679.8</v>
      </c>
      <c r="V27" s="18">
        <f t="shared" si="2"/>
        <v>9125.2000000000007</v>
      </c>
    </row>
    <row r="28" spans="1:23" x14ac:dyDescent="0.2">
      <c r="A28" s="9">
        <v>46136</v>
      </c>
      <c r="B28" s="10"/>
      <c r="C28" s="11">
        <v>1695</v>
      </c>
      <c r="D28" s="10">
        <v>1840</v>
      </c>
      <c r="E28" s="11">
        <v>1965</v>
      </c>
      <c r="F28" s="12">
        <v>2040</v>
      </c>
      <c r="G28" s="11">
        <v>1885</v>
      </c>
      <c r="H28" s="10">
        <v>1515</v>
      </c>
      <c r="I28" s="11">
        <v>2435</v>
      </c>
      <c r="J28" s="12"/>
      <c r="K28" s="13"/>
      <c r="L28" s="13">
        <v>820</v>
      </c>
      <c r="M28" s="11"/>
      <c r="N28" s="10">
        <v>950</v>
      </c>
      <c r="O28" s="11"/>
      <c r="P28" s="13"/>
      <c r="Q28" s="13"/>
      <c r="R28" s="15">
        <f t="shared" si="0"/>
        <v>15145</v>
      </c>
      <c r="S28" s="16"/>
      <c r="T28" s="16">
        <v>2600</v>
      </c>
      <c r="U28" s="17">
        <f t="shared" si="1"/>
        <v>5452.2000000000007</v>
      </c>
      <c r="V28" s="18">
        <f t="shared" si="2"/>
        <v>7092.7999999999993</v>
      </c>
    </row>
    <row r="29" spans="1:23" x14ac:dyDescent="0.2">
      <c r="A29" s="9">
        <v>46137</v>
      </c>
      <c r="B29" s="10"/>
      <c r="C29" s="11">
        <v>3385</v>
      </c>
      <c r="D29" s="10">
        <v>1770</v>
      </c>
      <c r="E29" s="11">
        <v>2975</v>
      </c>
      <c r="F29" s="12">
        <v>3175</v>
      </c>
      <c r="G29" s="11">
        <v>2055</v>
      </c>
      <c r="H29" s="10">
        <v>2355</v>
      </c>
      <c r="I29" s="11">
        <v>2155</v>
      </c>
      <c r="J29" s="12">
        <v>1960</v>
      </c>
      <c r="K29" s="13"/>
      <c r="L29" s="13">
        <v>4920</v>
      </c>
      <c r="M29" s="11"/>
      <c r="N29" s="10">
        <v>2040</v>
      </c>
      <c r="O29" s="11"/>
      <c r="P29" s="13">
        <v>250</v>
      </c>
      <c r="Q29" s="13"/>
      <c r="R29" s="15">
        <f t="shared" si="0"/>
        <v>27040</v>
      </c>
      <c r="S29" s="16">
        <v>150</v>
      </c>
      <c r="T29" s="16">
        <v>2950</v>
      </c>
      <c r="U29" s="17">
        <f t="shared" si="1"/>
        <v>9734.4</v>
      </c>
      <c r="V29" s="18">
        <f t="shared" si="2"/>
        <v>14205.6</v>
      </c>
      <c r="W29">
        <v>7340</v>
      </c>
    </row>
    <row r="30" spans="1:23" x14ac:dyDescent="0.2">
      <c r="A30" s="9">
        <v>46138</v>
      </c>
      <c r="B30" s="10"/>
      <c r="C30" s="11">
        <v>2173</v>
      </c>
      <c r="D30" s="10">
        <v>2270</v>
      </c>
      <c r="E30" s="11">
        <v>345</v>
      </c>
      <c r="F30" s="12">
        <v>1844</v>
      </c>
      <c r="G30" s="11">
        <v>1685</v>
      </c>
      <c r="H30" s="10">
        <v>1805</v>
      </c>
      <c r="I30" s="11">
        <v>2145</v>
      </c>
      <c r="J30" s="12">
        <v>1905</v>
      </c>
      <c r="K30" s="13"/>
      <c r="L30" s="13">
        <v>2650</v>
      </c>
      <c r="M30" s="11"/>
      <c r="N30" s="10">
        <v>4500</v>
      </c>
      <c r="O30" s="11"/>
      <c r="P30" s="13"/>
      <c r="Q30" s="13"/>
      <c r="R30" s="15">
        <f t="shared" si="0"/>
        <v>21322</v>
      </c>
      <c r="S30" s="16">
        <v>1144</v>
      </c>
      <c r="T30" s="16">
        <v>2700</v>
      </c>
      <c r="U30" s="17">
        <f t="shared" si="1"/>
        <v>7675.92</v>
      </c>
      <c r="V30" s="18">
        <f t="shared" si="2"/>
        <v>9802.08</v>
      </c>
    </row>
    <row r="31" spans="1:23" x14ac:dyDescent="0.2">
      <c r="A31" s="9">
        <v>46139</v>
      </c>
      <c r="B31" s="10"/>
      <c r="C31" s="11">
        <v>670</v>
      </c>
      <c r="D31" s="10"/>
      <c r="E31" s="11"/>
      <c r="F31" s="12">
        <v>1148</v>
      </c>
      <c r="G31" s="11">
        <v>505</v>
      </c>
      <c r="H31" s="10">
        <v>660</v>
      </c>
      <c r="I31" s="11">
        <v>995</v>
      </c>
      <c r="J31" s="12">
        <v>825</v>
      </c>
      <c r="K31" s="13"/>
      <c r="L31" s="13">
        <v>3965</v>
      </c>
      <c r="M31" s="11"/>
      <c r="N31" s="10"/>
      <c r="O31" s="11"/>
      <c r="P31" s="13"/>
      <c r="Q31" s="13"/>
      <c r="R31" s="15">
        <f t="shared" si="0"/>
        <v>8768</v>
      </c>
      <c r="S31" s="16"/>
      <c r="T31" s="16">
        <v>1800</v>
      </c>
      <c r="U31" s="17">
        <f t="shared" si="1"/>
        <v>3156.48</v>
      </c>
      <c r="V31" s="18">
        <f t="shared" si="2"/>
        <v>3811.52</v>
      </c>
      <c r="W31">
        <v>5750</v>
      </c>
    </row>
    <row r="32" spans="1:23" x14ac:dyDescent="0.2">
      <c r="A32" s="9">
        <v>46140</v>
      </c>
      <c r="B32" s="10"/>
      <c r="C32" s="11">
        <v>1460</v>
      </c>
      <c r="D32" s="10">
        <v>2065</v>
      </c>
      <c r="E32" s="11">
        <v>1941</v>
      </c>
      <c r="F32" s="12">
        <v>1785</v>
      </c>
      <c r="G32" s="11">
        <v>1275</v>
      </c>
      <c r="H32" s="10">
        <v>1120</v>
      </c>
      <c r="I32" s="11"/>
      <c r="J32" s="12">
        <v>1337</v>
      </c>
      <c r="K32" s="13"/>
      <c r="L32" s="13"/>
      <c r="M32" s="11"/>
      <c r="N32" s="10"/>
      <c r="O32" s="11"/>
      <c r="P32" s="13"/>
      <c r="Q32" s="13">
        <v>10000</v>
      </c>
      <c r="R32" s="15">
        <f t="shared" si="0"/>
        <v>10983</v>
      </c>
      <c r="S32" s="16">
        <v>2818</v>
      </c>
      <c r="T32" s="16">
        <v>2350</v>
      </c>
      <c r="U32" s="17">
        <f t="shared" si="1"/>
        <v>3953.8800000000006</v>
      </c>
      <c r="V32" s="18">
        <f t="shared" si="2"/>
        <v>1861.1199999999994</v>
      </c>
    </row>
    <row r="33" spans="1:23" x14ac:dyDescent="0.2">
      <c r="A33" s="9">
        <v>46141</v>
      </c>
      <c r="B33" s="10"/>
      <c r="C33" s="11"/>
      <c r="D33" s="10">
        <v>1966</v>
      </c>
      <c r="E33" s="11">
        <v>2960</v>
      </c>
      <c r="F33" s="12"/>
      <c r="G33" s="11">
        <v>2740</v>
      </c>
      <c r="H33" s="10">
        <v>2110</v>
      </c>
      <c r="I33" s="11">
        <v>2700</v>
      </c>
      <c r="J33" s="12">
        <v>1938</v>
      </c>
      <c r="K33" s="13"/>
      <c r="L33" s="13">
        <v>1080</v>
      </c>
      <c r="M33" s="11"/>
      <c r="N33" s="10"/>
      <c r="O33" s="11"/>
      <c r="P33" s="13">
        <v>790</v>
      </c>
      <c r="Q33" s="13"/>
      <c r="R33" s="15">
        <f t="shared" si="0"/>
        <v>16284</v>
      </c>
      <c r="S33" s="16"/>
      <c r="T33" s="16">
        <v>2250</v>
      </c>
      <c r="U33" s="17">
        <f t="shared" si="1"/>
        <v>5862.2400000000007</v>
      </c>
      <c r="V33" s="18">
        <f t="shared" si="2"/>
        <v>8171.7599999999993</v>
      </c>
    </row>
    <row r="34" spans="1:23" x14ac:dyDescent="0.2">
      <c r="A34" s="9">
        <v>46142</v>
      </c>
      <c r="B34" s="10"/>
      <c r="C34" s="11">
        <v>3046</v>
      </c>
      <c r="D34" s="10">
        <v>1700</v>
      </c>
      <c r="E34" s="11"/>
      <c r="F34" s="12">
        <v>1900</v>
      </c>
      <c r="G34" s="11">
        <v>1975</v>
      </c>
      <c r="H34" s="10"/>
      <c r="I34" s="11">
        <v>1973</v>
      </c>
      <c r="J34" s="12">
        <v>1511</v>
      </c>
      <c r="K34" s="13"/>
      <c r="L34" s="13">
        <v>1860</v>
      </c>
      <c r="M34" s="11"/>
      <c r="N34" s="10">
        <v>3860</v>
      </c>
      <c r="O34" s="11"/>
      <c r="P34" s="13"/>
      <c r="Q34" s="13"/>
      <c r="R34" s="15">
        <f t="shared" si="0"/>
        <v>17825</v>
      </c>
      <c r="S34" s="16"/>
      <c r="T34" s="16">
        <v>2000</v>
      </c>
      <c r="U34" s="17">
        <f t="shared" si="1"/>
        <v>6417</v>
      </c>
      <c r="V34" s="18">
        <f t="shared" si="2"/>
        <v>9408</v>
      </c>
    </row>
    <row r="35" spans="1:23" x14ac:dyDescent="0.2">
      <c r="A35" s="9"/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51680</v>
      </c>
      <c r="D36" s="20">
        <f t="shared" si="3"/>
        <v>33386</v>
      </c>
      <c r="E36" s="20">
        <f t="shared" si="3"/>
        <v>48920</v>
      </c>
      <c r="F36" s="20">
        <f t="shared" si="3"/>
        <v>46582</v>
      </c>
      <c r="G36" s="20">
        <f t="shared" si="3"/>
        <v>44036</v>
      </c>
      <c r="H36" s="20">
        <f t="shared" si="3"/>
        <v>37051</v>
      </c>
      <c r="I36" s="20">
        <f t="shared" si="3"/>
        <v>44085</v>
      </c>
      <c r="J36" s="20">
        <f t="shared" si="3"/>
        <v>42290</v>
      </c>
      <c r="K36" s="20">
        <f t="shared" si="3"/>
        <v>2031</v>
      </c>
      <c r="L36" s="20">
        <f t="shared" si="3"/>
        <v>33715</v>
      </c>
      <c r="M36" s="20">
        <f t="shared" si="3"/>
        <v>1160</v>
      </c>
      <c r="N36" s="20">
        <f t="shared" si="3"/>
        <v>51510</v>
      </c>
      <c r="O36" s="20">
        <f t="shared" si="3"/>
        <v>1434</v>
      </c>
      <c r="P36" s="20">
        <f t="shared" si="3"/>
        <v>3256</v>
      </c>
      <c r="Q36" s="20"/>
      <c r="R36" s="21">
        <f t="shared" si="3"/>
        <v>441136</v>
      </c>
      <c r="S36" s="20">
        <f t="shared" si="3"/>
        <v>23542</v>
      </c>
      <c r="T36" s="20">
        <f t="shared" si="3"/>
        <v>67740</v>
      </c>
      <c r="U36" s="20">
        <f t="shared" si="3"/>
        <v>158808.96000000002</v>
      </c>
      <c r="V36" s="22">
        <f t="shared" si="2"/>
        <v>191045.03999999998</v>
      </c>
      <c r="W36" s="23">
        <f>SUM(W5:W35)</f>
        <v>44470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1F05-5626-6048-86FE-4C3C6A57D77A}">
  <dimension ref="A1:W37"/>
  <sheetViews>
    <sheetView topLeftCell="B3" zoomScale="136" workbookViewId="0">
      <selection activeCell="M4" sqref="M4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33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41</v>
      </c>
      <c r="L4" s="2" t="s">
        <v>42</v>
      </c>
      <c r="M4" s="4" t="s">
        <v>40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46143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46144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46145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46146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46147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46148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46149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46150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46151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46152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46153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46154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46155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46156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46157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46158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46159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46160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46161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46162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46163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46164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46165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46166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46167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46168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46169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46170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46171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46172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>
        <v>46173</v>
      </c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4AEF-C5BD-7349-8C55-B1A8BDC7DB67}">
  <dimension ref="A1:W37"/>
  <sheetViews>
    <sheetView topLeftCell="A11" workbookViewId="0">
      <selection activeCell="A35" sqref="A35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34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46174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46175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46176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46177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46178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46179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46180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46181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46182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46183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46184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46185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46186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46187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46188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46189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46190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46191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46192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46193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46194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46195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46196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46197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46198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46199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46200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46201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46202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46203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/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3ABD-B2C8-8540-BBFC-E29C0C54E7BF}">
  <dimension ref="A1:W37"/>
  <sheetViews>
    <sheetView topLeftCell="A11" workbookViewId="0">
      <selection activeCell="C30" sqref="C30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35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46204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46205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46206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46207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46208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46209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46210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46211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46212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46213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46214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46215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46216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46217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46218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46219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46220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46221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46222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46223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46224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46225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46226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46227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46228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46229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46230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46231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46232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46233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>
        <v>46234</v>
      </c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7F53-D9FC-B94A-AAF0-373F24E1B2D0}">
  <dimension ref="A1:W37"/>
  <sheetViews>
    <sheetView workbookViewId="0">
      <selection activeCell="G9" sqref="G9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36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46235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46236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46237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46238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46239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46240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46241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46242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46243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46244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46245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46246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46247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46248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46249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46250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46251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46252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46253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46254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46255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46256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46257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46258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46259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46260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46261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46262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46263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46264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>
        <v>46265</v>
      </c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0E4A-33CC-4F4B-9135-EB6C862DAA7A}">
  <dimension ref="A1:W37"/>
  <sheetViews>
    <sheetView topLeftCell="A12" workbookViewId="0">
      <selection activeCell="D29" sqref="D29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37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46266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46267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46268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46269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46270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46271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46272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46273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46274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46275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46276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46277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46278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46279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46280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46281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46282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46283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46284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46285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46286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46287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46288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46289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46290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46291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46292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46293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46294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46295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/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2EA2-650B-6F4F-893A-176FF632F4EF}">
  <dimension ref="A1:W37"/>
  <sheetViews>
    <sheetView topLeftCell="A9" workbookViewId="0">
      <selection activeCell="B28" sqref="B28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38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46296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46297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46298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46299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46300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46301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46302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46303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46304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46305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46306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46307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46308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46309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46310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46311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46312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46313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46314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46315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46316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46317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46318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46319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46320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46321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46322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46323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46324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46325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>
        <v>46326</v>
      </c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E00A-6B3B-3B49-967D-68A23FF6CBEA}">
  <dimension ref="A1:W37"/>
  <sheetViews>
    <sheetView topLeftCell="A8" workbookViewId="0">
      <selection activeCell="A35" sqref="A35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39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46327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46328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46329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46330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46331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46332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46333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46334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46335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46336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46337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46338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46339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46340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46341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46342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46343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46344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46345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46346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46347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46348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46349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46350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46351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46352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46353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46354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46355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46356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/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520F-1D2A-BE48-81D3-CE25FFB91098}">
  <dimension ref="A1:W37"/>
  <sheetViews>
    <sheetView topLeftCell="A11" workbookViewId="0">
      <selection activeCell="B29" sqref="B29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2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46357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46358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46359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46360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46361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46362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46363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46364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46365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46366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46367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46368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46369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46370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46371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46372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46373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46374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46375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46376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46377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46378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46379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46380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46381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46382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46383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46384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46385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46386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>
        <v>46387</v>
      </c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A0DF-DE3C-A44E-8F19-BABD0D626FB5}">
  <dimension ref="A1:W37"/>
  <sheetViews>
    <sheetView workbookViewId="0">
      <selection sqref="A1:XFD1048576"/>
    </sheetView>
  </sheetViews>
  <sheetFormatPr baseColWidth="10" defaultRowHeight="16" x14ac:dyDescent="0.2"/>
  <cols>
    <col min="1" max="1" width="10.5" customWidth="1"/>
    <col min="2" max="2" width="10" customWidth="1"/>
    <col min="3" max="3" width="9.83203125" customWidth="1"/>
    <col min="4" max="5" width="8.5" customWidth="1"/>
    <col min="6" max="6" width="8.33203125" customWidth="1"/>
    <col min="7" max="7" width="8.5" customWidth="1"/>
    <col min="8" max="11" width="8.33203125" customWidth="1"/>
    <col min="12" max="12" width="8.1640625" customWidth="1"/>
    <col min="13" max="13" width="8.6640625" customWidth="1"/>
    <col min="14" max="14" width="10.6640625" customWidth="1"/>
    <col min="15" max="15" width="8.1640625" customWidth="1"/>
    <col min="16" max="16" width="7.83203125" customWidth="1"/>
    <col min="17" max="17" width="9.6640625" customWidth="1"/>
    <col min="18" max="18" width="9" customWidth="1"/>
    <col min="19" max="19" width="8.6640625" customWidth="1"/>
    <col min="20" max="20" width="10" customWidth="1"/>
    <col min="21" max="21" width="9.83203125" customWidth="1"/>
    <col min="22" max="22" width="12.83203125" customWidth="1"/>
  </cols>
  <sheetData>
    <row r="1" spans="1:23" x14ac:dyDescent="0.2">
      <c r="A1" t="s">
        <v>0</v>
      </c>
    </row>
    <row r="2" spans="1:23" x14ac:dyDescent="0.2">
      <c r="A2" t="s">
        <v>1</v>
      </c>
      <c r="B2" t="s">
        <v>29</v>
      </c>
      <c r="D2" t="s">
        <v>28</v>
      </c>
    </row>
    <row r="3" spans="1:23" x14ac:dyDescent="0.2">
      <c r="A3" s="1" t="s">
        <v>3</v>
      </c>
      <c r="B3" s="1">
        <v>200</v>
      </c>
      <c r="C3" s="1">
        <v>200</v>
      </c>
      <c r="D3" s="1">
        <v>200</v>
      </c>
      <c r="E3" s="1">
        <v>250</v>
      </c>
      <c r="F3" s="2">
        <v>450</v>
      </c>
      <c r="G3" s="1">
        <v>200</v>
      </c>
      <c r="H3" s="1">
        <v>200</v>
      </c>
      <c r="I3" s="1">
        <v>200</v>
      </c>
      <c r="J3" s="2">
        <v>350</v>
      </c>
      <c r="K3" s="2">
        <v>350</v>
      </c>
      <c r="L3" s="2">
        <v>350</v>
      </c>
      <c r="M3" s="1">
        <v>200</v>
      </c>
      <c r="N3" s="1">
        <v>200</v>
      </c>
      <c r="O3" s="1">
        <v>200</v>
      </c>
      <c r="P3" s="2">
        <v>500</v>
      </c>
      <c r="Q3" s="2">
        <v>350</v>
      </c>
    </row>
    <row r="4" spans="1:23" x14ac:dyDescent="0.2">
      <c r="A4" s="1" t="s">
        <v>4</v>
      </c>
      <c r="B4" s="3"/>
      <c r="C4" s="4" t="s">
        <v>6</v>
      </c>
      <c r="D4" s="3" t="s">
        <v>7</v>
      </c>
      <c r="E4" s="4" t="s">
        <v>8</v>
      </c>
      <c r="F4" s="2" t="s">
        <v>9</v>
      </c>
      <c r="G4" s="4" t="s">
        <v>10</v>
      </c>
      <c r="H4" s="3" t="s">
        <v>11</v>
      </c>
      <c r="I4" s="4" t="s">
        <v>12</v>
      </c>
      <c r="J4" s="2" t="s">
        <v>13</v>
      </c>
      <c r="K4" s="2" t="s">
        <v>14</v>
      </c>
      <c r="L4" s="2" t="s">
        <v>15</v>
      </c>
      <c r="M4" s="4" t="s">
        <v>16</v>
      </c>
      <c r="N4" s="3" t="s">
        <v>17</v>
      </c>
      <c r="O4" s="4" t="s">
        <v>18</v>
      </c>
      <c r="P4" s="5" t="s">
        <v>19</v>
      </c>
      <c r="Q4" s="5" t="s">
        <v>20</v>
      </c>
      <c r="R4" s="6" t="s">
        <v>21</v>
      </c>
      <c r="S4" s="7" t="s">
        <v>22</v>
      </c>
      <c r="T4" s="7" t="s">
        <v>3</v>
      </c>
      <c r="U4" s="7" t="s">
        <v>23</v>
      </c>
      <c r="V4" s="6" t="s">
        <v>24</v>
      </c>
      <c r="W4" s="8" t="s">
        <v>25</v>
      </c>
    </row>
    <row r="5" spans="1:23" x14ac:dyDescent="0.2">
      <c r="A5" s="9">
        <v>46023</v>
      </c>
      <c r="B5" s="10"/>
      <c r="C5" s="11"/>
      <c r="D5" s="10"/>
      <c r="E5" s="11"/>
      <c r="F5" s="12"/>
      <c r="G5" s="11"/>
      <c r="H5" s="10"/>
      <c r="I5" s="11"/>
      <c r="J5" s="12"/>
      <c r="K5" s="13"/>
      <c r="L5" s="13"/>
      <c r="M5" s="11"/>
      <c r="N5" s="10"/>
      <c r="O5" s="11"/>
      <c r="P5" s="14"/>
      <c r="Q5" s="14"/>
      <c r="R5" s="15">
        <f>(B5+C5+D5+E5+F5+G5+H5+I5+J5+K5+L5+M5+N5+O5+P5+Q5)</f>
        <v>0</v>
      </c>
      <c r="S5" s="16"/>
      <c r="T5" s="17"/>
      <c r="U5" s="17">
        <f>(R5*0.9*0.4)</f>
        <v>0</v>
      </c>
      <c r="V5" s="18">
        <f>(R5-S5-T5-U5)</f>
        <v>0</v>
      </c>
    </row>
    <row r="6" spans="1:23" x14ac:dyDescent="0.2">
      <c r="A6" s="9">
        <v>46024</v>
      </c>
      <c r="B6" s="10"/>
      <c r="C6" s="11"/>
      <c r="D6" s="10"/>
      <c r="E6" s="11"/>
      <c r="F6" s="12"/>
      <c r="G6" s="11"/>
      <c r="H6" s="10"/>
      <c r="I6" s="11"/>
      <c r="J6" s="12"/>
      <c r="K6" s="13"/>
      <c r="L6" s="13"/>
      <c r="M6" s="11"/>
      <c r="N6" s="10"/>
      <c r="O6" s="11"/>
      <c r="P6" s="13"/>
      <c r="Q6" s="13"/>
      <c r="R6" s="15">
        <f t="shared" ref="R6:R35" si="0">(B6+C6+D6+E6+F6+G6+H6+I6+J6+K6+L6+M6+N6+O6+P6)</f>
        <v>0</v>
      </c>
      <c r="S6" s="16"/>
      <c r="T6" s="16"/>
      <c r="U6" s="17">
        <f t="shared" ref="U6:U35" si="1">(R6*0.9*0.4)</f>
        <v>0</v>
      </c>
      <c r="V6" s="18">
        <f>(R6-S6-T6-U6)</f>
        <v>0</v>
      </c>
    </row>
    <row r="7" spans="1:23" x14ac:dyDescent="0.2">
      <c r="A7" s="9">
        <v>46025</v>
      </c>
      <c r="B7" s="10"/>
      <c r="C7" s="11"/>
      <c r="D7" s="10"/>
      <c r="E7" s="11"/>
      <c r="F7" s="12"/>
      <c r="G7" s="11"/>
      <c r="H7" s="10"/>
      <c r="I7" s="11"/>
      <c r="J7" s="12"/>
      <c r="K7" s="13"/>
      <c r="L7" s="13"/>
      <c r="M7" s="11"/>
      <c r="N7" s="10"/>
      <c r="O7" s="11"/>
      <c r="P7" s="13"/>
      <c r="Q7" s="13"/>
      <c r="R7" s="15">
        <f t="shared" si="0"/>
        <v>0</v>
      </c>
      <c r="S7" s="16"/>
      <c r="T7" s="16"/>
      <c r="U7" s="17">
        <f t="shared" si="1"/>
        <v>0</v>
      </c>
      <c r="V7" s="18">
        <f>(R7-S7-T7-U7)</f>
        <v>0</v>
      </c>
    </row>
    <row r="8" spans="1:23" x14ac:dyDescent="0.2">
      <c r="A8" s="9">
        <v>46026</v>
      </c>
      <c r="B8" s="10"/>
      <c r="C8" s="11"/>
      <c r="D8" s="10"/>
      <c r="E8" s="11"/>
      <c r="F8" s="12"/>
      <c r="G8" s="11"/>
      <c r="H8" s="10"/>
      <c r="I8" s="11"/>
      <c r="J8" s="12"/>
      <c r="K8" s="13"/>
      <c r="L8" s="13"/>
      <c r="M8" s="11"/>
      <c r="N8" s="10"/>
      <c r="O8" s="11"/>
      <c r="P8" s="13"/>
      <c r="Q8" s="13"/>
      <c r="R8" s="15">
        <f t="shared" si="0"/>
        <v>0</v>
      </c>
      <c r="S8" s="16"/>
      <c r="T8" s="16"/>
      <c r="U8" s="17">
        <f t="shared" si="1"/>
        <v>0</v>
      </c>
      <c r="V8" s="18">
        <f t="shared" ref="V8:V36" si="2">(R8-S8-T8-U8)</f>
        <v>0</v>
      </c>
    </row>
    <row r="9" spans="1:23" x14ac:dyDescent="0.2">
      <c r="A9" s="9">
        <v>46027</v>
      </c>
      <c r="B9" s="10"/>
      <c r="C9" s="11"/>
      <c r="D9" s="10"/>
      <c r="E9" s="11"/>
      <c r="F9" s="12"/>
      <c r="G9" s="11"/>
      <c r="H9" s="10"/>
      <c r="I9" s="11"/>
      <c r="J9" s="12"/>
      <c r="K9" s="13"/>
      <c r="L9" s="13"/>
      <c r="M9" s="11"/>
      <c r="N9" s="10"/>
      <c r="O9" s="11"/>
      <c r="P9" s="13"/>
      <c r="Q9" s="13"/>
      <c r="R9" s="15">
        <f t="shared" si="0"/>
        <v>0</v>
      </c>
      <c r="S9" s="16"/>
      <c r="T9" s="16"/>
      <c r="U9" s="17">
        <f t="shared" si="1"/>
        <v>0</v>
      </c>
      <c r="V9" s="18">
        <f t="shared" si="2"/>
        <v>0</v>
      </c>
    </row>
    <row r="10" spans="1:23" x14ac:dyDescent="0.2">
      <c r="A10" s="9">
        <v>46028</v>
      </c>
      <c r="B10" s="10"/>
      <c r="C10" s="11"/>
      <c r="D10" s="10"/>
      <c r="E10" s="11"/>
      <c r="F10" s="12"/>
      <c r="G10" s="11"/>
      <c r="H10" s="10"/>
      <c r="I10" s="11"/>
      <c r="J10" s="12"/>
      <c r="K10" s="13"/>
      <c r="L10" s="13"/>
      <c r="M10" s="11"/>
      <c r="N10" s="10"/>
      <c r="O10" s="11"/>
      <c r="P10" s="13"/>
      <c r="Q10" s="13"/>
      <c r="R10" s="15">
        <f t="shared" si="0"/>
        <v>0</v>
      </c>
      <c r="S10" s="16"/>
      <c r="T10" s="16"/>
      <c r="U10" s="17">
        <f t="shared" si="1"/>
        <v>0</v>
      </c>
      <c r="V10" s="18">
        <f t="shared" si="2"/>
        <v>0</v>
      </c>
    </row>
    <row r="11" spans="1:23" x14ac:dyDescent="0.2">
      <c r="A11" s="9">
        <v>46029</v>
      </c>
      <c r="B11" s="10"/>
      <c r="C11" s="11"/>
      <c r="D11" s="10"/>
      <c r="E11" s="11"/>
      <c r="F11" s="12"/>
      <c r="G11" s="11"/>
      <c r="H11" s="10"/>
      <c r="I11" s="11"/>
      <c r="J11" s="12"/>
      <c r="K11" s="13"/>
      <c r="L11" s="13"/>
      <c r="M11" s="11"/>
      <c r="N11" s="10"/>
      <c r="O11" s="11"/>
      <c r="P11" s="13"/>
      <c r="Q11" s="13"/>
      <c r="R11" s="15">
        <f t="shared" si="0"/>
        <v>0</v>
      </c>
      <c r="S11" s="16"/>
      <c r="T11" s="16"/>
      <c r="U11" s="17">
        <f t="shared" si="1"/>
        <v>0</v>
      </c>
      <c r="V11" s="18">
        <f t="shared" si="2"/>
        <v>0</v>
      </c>
    </row>
    <row r="12" spans="1:23" x14ac:dyDescent="0.2">
      <c r="A12" s="9">
        <v>46030</v>
      </c>
      <c r="B12" s="10"/>
      <c r="C12" s="11"/>
      <c r="D12" s="10"/>
      <c r="E12" s="11"/>
      <c r="F12" s="12"/>
      <c r="G12" s="11"/>
      <c r="H12" s="10"/>
      <c r="I12" s="11"/>
      <c r="J12" s="12"/>
      <c r="K12" s="13"/>
      <c r="L12" s="13"/>
      <c r="M12" s="11"/>
      <c r="N12" s="10"/>
      <c r="O12" s="11"/>
      <c r="P12" s="13"/>
      <c r="Q12" s="13"/>
      <c r="R12" s="15">
        <f t="shared" si="0"/>
        <v>0</v>
      </c>
      <c r="S12" s="16"/>
      <c r="T12" s="16"/>
      <c r="U12" s="17">
        <f t="shared" si="1"/>
        <v>0</v>
      </c>
      <c r="V12" s="18">
        <f t="shared" si="2"/>
        <v>0</v>
      </c>
    </row>
    <row r="13" spans="1:23" x14ac:dyDescent="0.2">
      <c r="A13" s="9">
        <v>46031</v>
      </c>
      <c r="B13" s="10"/>
      <c r="C13" s="11"/>
      <c r="D13" s="10"/>
      <c r="E13" s="11"/>
      <c r="F13" s="12"/>
      <c r="G13" s="11"/>
      <c r="H13" s="10"/>
      <c r="I13" s="11"/>
      <c r="J13" s="12"/>
      <c r="K13" s="13"/>
      <c r="L13" s="13"/>
      <c r="M13" s="11"/>
      <c r="N13" s="10"/>
      <c r="O13" s="11"/>
      <c r="P13" s="13"/>
      <c r="Q13" s="13"/>
      <c r="R13" s="15">
        <f t="shared" si="0"/>
        <v>0</v>
      </c>
      <c r="S13" s="16"/>
      <c r="T13" s="16"/>
      <c r="U13" s="17">
        <f t="shared" si="1"/>
        <v>0</v>
      </c>
      <c r="V13" s="18">
        <f t="shared" si="2"/>
        <v>0</v>
      </c>
    </row>
    <row r="14" spans="1:23" x14ac:dyDescent="0.2">
      <c r="A14" s="9">
        <v>46032</v>
      </c>
      <c r="B14" s="10"/>
      <c r="C14" s="11"/>
      <c r="D14" s="10"/>
      <c r="E14" s="11"/>
      <c r="F14" s="12"/>
      <c r="G14" s="11"/>
      <c r="H14" s="10"/>
      <c r="I14" s="11"/>
      <c r="J14" s="12"/>
      <c r="K14" s="13"/>
      <c r="L14" s="13"/>
      <c r="M14" s="11"/>
      <c r="N14" s="10"/>
      <c r="O14" s="11"/>
      <c r="P14" s="13"/>
      <c r="Q14" s="13"/>
      <c r="R14" s="15">
        <f t="shared" si="0"/>
        <v>0</v>
      </c>
      <c r="S14" s="16"/>
      <c r="T14" s="16"/>
      <c r="U14" s="17">
        <f t="shared" si="1"/>
        <v>0</v>
      </c>
      <c r="V14" s="18">
        <f>(R14-S14-T14-U14)</f>
        <v>0</v>
      </c>
    </row>
    <row r="15" spans="1:23" x14ac:dyDescent="0.2">
      <c r="A15" s="9">
        <v>46033</v>
      </c>
      <c r="B15" s="10"/>
      <c r="C15" s="11"/>
      <c r="D15" s="10"/>
      <c r="E15" s="11"/>
      <c r="F15" s="12"/>
      <c r="G15" s="11"/>
      <c r="H15" s="10"/>
      <c r="I15" s="11"/>
      <c r="J15" s="12"/>
      <c r="K15" s="13"/>
      <c r="L15" s="13"/>
      <c r="M15" s="11"/>
      <c r="N15" s="10"/>
      <c r="O15" s="11"/>
      <c r="P15" s="13"/>
      <c r="Q15" s="13"/>
      <c r="R15" s="15">
        <f t="shared" si="0"/>
        <v>0</v>
      </c>
      <c r="S15" s="16"/>
      <c r="T15" s="16"/>
      <c r="U15" s="17">
        <f t="shared" si="1"/>
        <v>0</v>
      </c>
      <c r="V15" s="18">
        <f>(R15-S15-T15-U15)</f>
        <v>0</v>
      </c>
    </row>
    <row r="16" spans="1:23" x14ac:dyDescent="0.2">
      <c r="A16" s="9">
        <v>46034</v>
      </c>
      <c r="B16" s="10"/>
      <c r="C16" s="11"/>
      <c r="D16" s="10"/>
      <c r="E16" s="11"/>
      <c r="F16" s="12"/>
      <c r="G16" s="11"/>
      <c r="H16" s="10"/>
      <c r="I16" s="11"/>
      <c r="J16" s="12"/>
      <c r="K16" s="13"/>
      <c r="L16" s="13"/>
      <c r="M16" s="11"/>
      <c r="N16" s="10"/>
      <c r="O16" s="11"/>
      <c r="P16" s="13"/>
      <c r="Q16" s="13"/>
      <c r="R16" s="15">
        <f t="shared" si="0"/>
        <v>0</v>
      </c>
      <c r="S16" s="16"/>
      <c r="T16" s="16"/>
      <c r="U16" s="17">
        <f t="shared" si="1"/>
        <v>0</v>
      </c>
      <c r="V16" s="18">
        <f t="shared" si="2"/>
        <v>0</v>
      </c>
    </row>
    <row r="17" spans="1:22" x14ac:dyDescent="0.2">
      <c r="A17" s="9">
        <v>46035</v>
      </c>
      <c r="B17" s="10"/>
      <c r="C17" s="11"/>
      <c r="D17" s="10"/>
      <c r="E17" s="11"/>
      <c r="F17" s="12"/>
      <c r="G17" s="11"/>
      <c r="H17" s="10"/>
      <c r="I17" s="11"/>
      <c r="J17" s="12"/>
      <c r="K17" s="13"/>
      <c r="L17" s="13"/>
      <c r="M17" s="11"/>
      <c r="N17" s="10"/>
      <c r="O17" s="11"/>
      <c r="P17" s="13"/>
      <c r="Q17" s="13"/>
      <c r="R17" s="15">
        <f t="shared" si="0"/>
        <v>0</v>
      </c>
      <c r="S17" s="16"/>
      <c r="T17" s="16"/>
      <c r="U17" s="17">
        <f t="shared" si="1"/>
        <v>0</v>
      </c>
      <c r="V17" s="18">
        <f t="shared" si="2"/>
        <v>0</v>
      </c>
    </row>
    <row r="18" spans="1:22" x14ac:dyDescent="0.2">
      <c r="A18" s="9">
        <v>46036</v>
      </c>
      <c r="B18" s="10"/>
      <c r="C18" s="11"/>
      <c r="D18" s="10"/>
      <c r="E18" s="11"/>
      <c r="F18" s="12"/>
      <c r="G18" s="11"/>
      <c r="H18" s="10"/>
      <c r="I18" s="11"/>
      <c r="J18" s="12"/>
      <c r="K18" s="13"/>
      <c r="L18" s="13"/>
      <c r="M18" s="11"/>
      <c r="N18" s="10"/>
      <c r="O18" s="11"/>
      <c r="P18" s="13"/>
      <c r="Q18" s="13"/>
      <c r="R18" s="15">
        <f t="shared" si="0"/>
        <v>0</v>
      </c>
      <c r="S18" s="16"/>
      <c r="T18" s="16"/>
      <c r="U18" s="17">
        <f t="shared" si="1"/>
        <v>0</v>
      </c>
      <c r="V18" s="18">
        <f t="shared" si="2"/>
        <v>0</v>
      </c>
    </row>
    <row r="19" spans="1:22" x14ac:dyDescent="0.2">
      <c r="A19" s="9">
        <v>46037</v>
      </c>
      <c r="B19" s="10"/>
      <c r="C19" s="11"/>
      <c r="D19" s="10"/>
      <c r="E19" s="11"/>
      <c r="F19" s="12"/>
      <c r="G19" s="11"/>
      <c r="H19" s="10"/>
      <c r="I19" s="11"/>
      <c r="J19" s="12"/>
      <c r="K19" s="13"/>
      <c r="L19" s="13"/>
      <c r="M19" s="11"/>
      <c r="N19" s="10"/>
      <c r="O19" s="11"/>
      <c r="P19" s="13"/>
      <c r="Q19" s="13"/>
      <c r="R19" s="15">
        <f t="shared" si="0"/>
        <v>0</v>
      </c>
      <c r="S19" s="16"/>
      <c r="T19" s="16"/>
      <c r="U19" s="17">
        <f t="shared" si="1"/>
        <v>0</v>
      </c>
      <c r="V19" s="18">
        <f t="shared" si="2"/>
        <v>0</v>
      </c>
    </row>
    <row r="20" spans="1:22" x14ac:dyDescent="0.2">
      <c r="A20" s="9">
        <v>46038</v>
      </c>
      <c r="B20" s="10"/>
      <c r="C20" s="11"/>
      <c r="D20" s="10"/>
      <c r="E20" s="11"/>
      <c r="F20" s="12"/>
      <c r="G20" s="11"/>
      <c r="H20" s="10"/>
      <c r="I20" s="11"/>
      <c r="J20" s="12"/>
      <c r="K20" s="13"/>
      <c r="L20" s="13"/>
      <c r="M20" s="11"/>
      <c r="N20" s="10"/>
      <c r="O20" s="11"/>
      <c r="P20" s="13"/>
      <c r="Q20" s="13"/>
      <c r="R20" s="15">
        <f t="shared" si="0"/>
        <v>0</v>
      </c>
      <c r="S20" s="16"/>
      <c r="T20" s="16"/>
      <c r="U20" s="17">
        <f t="shared" si="1"/>
        <v>0</v>
      </c>
      <c r="V20" s="18">
        <f t="shared" si="2"/>
        <v>0</v>
      </c>
    </row>
    <row r="21" spans="1:22" x14ac:dyDescent="0.2">
      <c r="A21" s="9">
        <v>46039</v>
      </c>
      <c r="B21" s="10"/>
      <c r="C21" s="11"/>
      <c r="D21" s="10"/>
      <c r="E21" s="11"/>
      <c r="F21" s="12"/>
      <c r="G21" s="11"/>
      <c r="H21" s="10"/>
      <c r="I21" s="11"/>
      <c r="J21" s="12"/>
      <c r="K21" s="13"/>
      <c r="L21" s="13"/>
      <c r="M21" s="11"/>
      <c r="N21" s="10"/>
      <c r="O21" s="11"/>
      <c r="P21" s="13"/>
      <c r="Q21" s="13"/>
      <c r="R21" s="15">
        <f t="shared" si="0"/>
        <v>0</v>
      </c>
      <c r="S21" s="16"/>
      <c r="T21" s="16"/>
      <c r="U21" s="17">
        <f t="shared" si="1"/>
        <v>0</v>
      </c>
      <c r="V21" s="18">
        <f t="shared" si="2"/>
        <v>0</v>
      </c>
    </row>
    <row r="22" spans="1:22" x14ac:dyDescent="0.2">
      <c r="A22" s="9">
        <v>46040</v>
      </c>
      <c r="B22" s="10"/>
      <c r="C22" s="11"/>
      <c r="D22" s="10"/>
      <c r="E22" s="11"/>
      <c r="F22" s="12"/>
      <c r="G22" s="11"/>
      <c r="H22" s="10"/>
      <c r="I22" s="11"/>
      <c r="J22" s="12"/>
      <c r="K22" s="13"/>
      <c r="L22" s="13"/>
      <c r="M22" s="11"/>
      <c r="N22" s="10"/>
      <c r="O22" s="11"/>
      <c r="P22" s="13"/>
      <c r="Q22" s="13"/>
      <c r="R22" s="15">
        <f t="shared" si="0"/>
        <v>0</v>
      </c>
      <c r="S22" s="16"/>
      <c r="T22" s="16"/>
      <c r="U22" s="17">
        <f t="shared" si="1"/>
        <v>0</v>
      </c>
      <c r="V22" s="18">
        <f t="shared" si="2"/>
        <v>0</v>
      </c>
    </row>
    <row r="23" spans="1:22" x14ac:dyDescent="0.2">
      <c r="A23" s="9">
        <v>46041</v>
      </c>
      <c r="B23" s="10"/>
      <c r="C23" s="11"/>
      <c r="D23" s="10"/>
      <c r="E23" s="11"/>
      <c r="F23" s="12"/>
      <c r="G23" s="11"/>
      <c r="H23" s="10"/>
      <c r="I23" s="11"/>
      <c r="J23" s="12"/>
      <c r="K23" s="13"/>
      <c r="L23" s="13"/>
      <c r="M23" s="11"/>
      <c r="N23" s="10"/>
      <c r="O23" s="11"/>
      <c r="P23" s="13"/>
      <c r="Q23" s="13"/>
      <c r="R23" s="15">
        <f t="shared" si="0"/>
        <v>0</v>
      </c>
      <c r="S23" s="16"/>
      <c r="T23" s="16"/>
      <c r="U23" s="17">
        <f t="shared" si="1"/>
        <v>0</v>
      </c>
      <c r="V23" s="18">
        <f t="shared" si="2"/>
        <v>0</v>
      </c>
    </row>
    <row r="24" spans="1:22" x14ac:dyDescent="0.2">
      <c r="A24" s="9">
        <v>46042</v>
      </c>
      <c r="B24" s="10"/>
      <c r="C24" s="11"/>
      <c r="D24" s="10"/>
      <c r="E24" s="11"/>
      <c r="F24" s="12"/>
      <c r="G24" s="11"/>
      <c r="H24" s="10"/>
      <c r="I24" s="11"/>
      <c r="J24" s="12"/>
      <c r="K24" s="13"/>
      <c r="L24" s="13"/>
      <c r="M24" s="11"/>
      <c r="N24" s="10"/>
      <c r="O24" s="11"/>
      <c r="P24" s="13"/>
      <c r="Q24" s="13"/>
      <c r="R24" s="15">
        <f t="shared" si="0"/>
        <v>0</v>
      </c>
      <c r="S24" s="16"/>
      <c r="T24" s="16"/>
      <c r="U24" s="17">
        <f t="shared" si="1"/>
        <v>0</v>
      </c>
      <c r="V24" s="18">
        <f t="shared" si="2"/>
        <v>0</v>
      </c>
    </row>
    <row r="25" spans="1:22" x14ac:dyDescent="0.2">
      <c r="A25" s="9">
        <v>46043</v>
      </c>
      <c r="B25" s="10"/>
      <c r="C25" s="11"/>
      <c r="D25" s="10"/>
      <c r="E25" s="11"/>
      <c r="F25" s="12"/>
      <c r="G25" s="11"/>
      <c r="H25" s="10"/>
      <c r="I25" s="11"/>
      <c r="J25" s="12"/>
      <c r="K25" s="13"/>
      <c r="L25" s="13"/>
      <c r="M25" s="11"/>
      <c r="N25" s="10"/>
      <c r="O25" s="11"/>
      <c r="P25" s="13"/>
      <c r="Q25" s="13"/>
      <c r="R25" s="15">
        <f t="shared" si="0"/>
        <v>0</v>
      </c>
      <c r="S25" s="16"/>
      <c r="T25" s="16"/>
      <c r="U25" s="17">
        <f t="shared" si="1"/>
        <v>0</v>
      </c>
      <c r="V25" s="18">
        <f t="shared" si="2"/>
        <v>0</v>
      </c>
    </row>
    <row r="26" spans="1:22" x14ac:dyDescent="0.2">
      <c r="A26" s="9">
        <v>46044</v>
      </c>
      <c r="B26" s="10"/>
      <c r="C26" s="11"/>
      <c r="D26" s="10"/>
      <c r="E26" s="11"/>
      <c r="F26" s="12"/>
      <c r="G26" s="11"/>
      <c r="H26" s="10"/>
      <c r="I26" s="11"/>
      <c r="J26" s="12"/>
      <c r="K26" s="13"/>
      <c r="L26" s="13"/>
      <c r="M26" s="11"/>
      <c r="N26" s="10"/>
      <c r="O26" s="11"/>
      <c r="P26" s="13"/>
      <c r="Q26" s="13"/>
      <c r="R26" s="15">
        <f t="shared" si="0"/>
        <v>0</v>
      </c>
      <c r="S26" s="16"/>
      <c r="T26" s="16"/>
      <c r="U26" s="17">
        <f t="shared" si="1"/>
        <v>0</v>
      </c>
      <c r="V26" s="18">
        <f t="shared" si="2"/>
        <v>0</v>
      </c>
    </row>
    <row r="27" spans="1:22" x14ac:dyDescent="0.2">
      <c r="A27" s="9">
        <v>46045</v>
      </c>
      <c r="B27" s="10"/>
      <c r="C27" s="11"/>
      <c r="D27" s="10"/>
      <c r="E27" s="11"/>
      <c r="F27" s="12"/>
      <c r="G27" s="11"/>
      <c r="H27" s="10"/>
      <c r="I27" s="11"/>
      <c r="J27" s="12"/>
      <c r="K27" s="13"/>
      <c r="L27" s="13"/>
      <c r="M27" s="11"/>
      <c r="N27" s="10"/>
      <c r="O27" s="11"/>
      <c r="P27" s="13"/>
      <c r="Q27" s="13"/>
      <c r="R27" s="15">
        <f t="shared" si="0"/>
        <v>0</v>
      </c>
      <c r="S27" s="16"/>
      <c r="T27" s="16"/>
      <c r="U27" s="17">
        <f t="shared" si="1"/>
        <v>0</v>
      </c>
      <c r="V27" s="18">
        <f t="shared" si="2"/>
        <v>0</v>
      </c>
    </row>
    <row r="28" spans="1:22" x14ac:dyDescent="0.2">
      <c r="A28" s="9">
        <v>46046</v>
      </c>
      <c r="B28" s="10"/>
      <c r="C28" s="11"/>
      <c r="D28" s="10"/>
      <c r="E28" s="11"/>
      <c r="F28" s="12"/>
      <c r="G28" s="11"/>
      <c r="H28" s="10"/>
      <c r="I28" s="11"/>
      <c r="J28" s="12"/>
      <c r="K28" s="13"/>
      <c r="L28" s="13"/>
      <c r="M28" s="11"/>
      <c r="N28" s="10"/>
      <c r="O28" s="11"/>
      <c r="P28" s="13"/>
      <c r="Q28" s="13"/>
      <c r="R28" s="15">
        <f t="shared" si="0"/>
        <v>0</v>
      </c>
      <c r="S28" s="16"/>
      <c r="T28" s="16"/>
      <c r="U28" s="17">
        <f t="shared" si="1"/>
        <v>0</v>
      </c>
      <c r="V28" s="18">
        <f t="shared" si="2"/>
        <v>0</v>
      </c>
    </row>
    <row r="29" spans="1:22" x14ac:dyDescent="0.2">
      <c r="A29" s="9">
        <v>46047</v>
      </c>
      <c r="B29" s="10"/>
      <c r="C29" s="11"/>
      <c r="D29" s="10"/>
      <c r="E29" s="11"/>
      <c r="F29" s="12"/>
      <c r="G29" s="11"/>
      <c r="H29" s="10"/>
      <c r="I29" s="11"/>
      <c r="J29" s="12"/>
      <c r="K29" s="13"/>
      <c r="L29" s="13"/>
      <c r="M29" s="11"/>
      <c r="N29" s="10"/>
      <c r="O29" s="11"/>
      <c r="P29" s="13"/>
      <c r="Q29" s="13"/>
      <c r="R29" s="15">
        <f t="shared" si="0"/>
        <v>0</v>
      </c>
      <c r="S29" s="16"/>
      <c r="T29" s="16"/>
      <c r="U29" s="17">
        <f t="shared" si="1"/>
        <v>0</v>
      </c>
      <c r="V29" s="18">
        <f t="shared" si="2"/>
        <v>0</v>
      </c>
    </row>
    <row r="30" spans="1:22" x14ac:dyDescent="0.2">
      <c r="A30" s="9">
        <v>46048</v>
      </c>
      <c r="B30" s="10"/>
      <c r="C30" s="11"/>
      <c r="D30" s="10"/>
      <c r="E30" s="11"/>
      <c r="F30" s="12"/>
      <c r="G30" s="11"/>
      <c r="H30" s="10"/>
      <c r="I30" s="11"/>
      <c r="J30" s="12"/>
      <c r="K30" s="13"/>
      <c r="L30" s="13"/>
      <c r="M30" s="11"/>
      <c r="N30" s="10"/>
      <c r="O30" s="11"/>
      <c r="P30" s="13"/>
      <c r="Q30" s="13"/>
      <c r="R30" s="15">
        <f t="shared" si="0"/>
        <v>0</v>
      </c>
      <c r="S30" s="16"/>
      <c r="T30" s="16"/>
      <c r="U30" s="17">
        <f t="shared" si="1"/>
        <v>0</v>
      </c>
      <c r="V30" s="18">
        <f t="shared" si="2"/>
        <v>0</v>
      </c>
    </row>
    <row r="31" spans="1:22" x14ac:dyDescent="0.2">
      <c r="A31" s="9">
        <v>46049</v>
      </c>
      <c r="B31" s="10"/>
      <c r="C31" s="11"/>
      <c r="D31" s="10"/>
      <c r="E31" s="11"/>
      <c r="F31" s="12"/>
      <c r="G31" s="11"/>
      <c r="H31" s="10"/>
      <c r="I31" s="11"/>
      <c r="J31" s="12"/>
      <c r="K31" s="13"/>
      <c r="L31" s="13"/>
      <c r="M31" s="11"/>
      <c r="N31" s="10"/>
      <c r="O31" s="11"/>
      <c r="P31" s="13"/>
      <c r="Q31" s="13"/>
      <c r="R31" s="15">
        <f t="shared" si="0"/>
        <v>0</v>
      </c>
      <c r="S31" s="16"/>
      <c r="T31" s="16"/>
      <c r="U31" s="17">
        <f t="shared" si="1"/>
        <v>0</v>
      </c>
      <c r="V31" s="18">
        <f t="shared" si="2"/>
        <v>0</v>
      </c>
    </row>
    <row r="32" spans="1:22" x14ac:dyDescent="0.2">
      <c r="A32" s="9">
        <v>46050</v>
      </c>
      <c r="B32" s="10"/>
      <c r="C32" s="11"/>
      <c r="D32" s="10"/>
      <c r="E32" s="11"/>
      <c r="F32" s="12"/>
      <c r="G32" s="11"/>
      <c r="H32" s="10"/>
      <c r="I32" s="11"/>
      <c r="J32" s="12"/>
      <c r="K32" s="13"/>
      <c r="L32" s="13"/>
      <c r="M32" s="11"/>
      <c r="N32" s="10"/>
      <c r="O32" s="11"/>
      <c r="P32" s="13"/>
      <c r="Q32" s="13"/>
      <c r="R32" s="15">
        <f t="shared" si="0"/>
        <v>0</v>
      </c>
      <c r="S32" s="16"/>
      <c r="T32" s="16"/>
      <c r="U32" s="17">
        <f t="shared" si="1"/>
        <v>0</v>
      </c>
      <c r="V32" s="18">
        <f t="shared" si="2"/>
        <v>0</v>
      </c>
    </row>
    <row r="33" spans="1:23" x14ac:dyDescent="0.2">
      <c r="A33" s="9">
        <v>46051</v>
      </c>
      <c r="B33" s="10"/>
      <c r="C33" s="11"/>
      <c r="D33" s="10"/>
      <c r="E33" s="11"/>
      <c r="F33" s="12"/>
      <c r="G33" s="11"/>
      <c r="H33" s="10"/>
      <c r="I33" s="11"/>
      <c r="J33" s="12"/>
      <c r="K33" s="13"/>
      <c r="L33" s="13"/>
      <c r="M33" s="11"/>
      <c r="N33" s="10"/>
      <c r="O33" s="11"/>
      <c r="P33" s="13"/>
      <c r="Q33" s="13"/>
      <c r="R33" s="15">
        <f t="shared" si="0"/>
        <v>0</v>
      </c>
      <c r="S33" s="16"/>
      <c r="T33" s="16"/>
      <c r="U33" s="17">
        <f t="shared" si="1"/>
        <v>0</v>
      </c>
      <c r="V33" s="18">
        <f t="shared" si="2"/>
        <v>0</v>
      </c>
    </row>
    <row r="34" spans="1:23" x14ac:dyDescent="0.2">
      <c r="A34" s="9">
        <v>46052</v>
      </c>
      <c r="B34" s="10"/>
      <c r="C34" s="11"/>
      <c r="D34" s="10"/>
      <c r="E34" s="11"/>
      <c r="F34" s="12"/>
      <c r="G34" s="11"/>
      <c r="H34" s="10"/>
      <c r="I34" s="11"/>
      <c r="J34" s="12"/>
      <c r="K34" s="13"/>
      <c r="L34" s="13"/>
      <c r="M34" s="11"/>
      <c r="N34" s="10"/>
      <c r="O34" s="11"/>
      <c r="P34" s="13"/>
      <c r="Q34" s="13"/>
      <c r="R34" s="15">
        <f t="shared" si="0"/>
        <v>0</v>
      </c>
      <c r="S34" s="16"/>
      <c r="T34" s="16"/>
      <c r="U34" s="17">
        <f t="shared" si="1"/>
        <v>0</v>
      </c>
      <c r="V34" s="18">
        <f t="shared" si="2"/>
        <v>0</v>
      </c>
    </row>
    <row r="35" spans="1:23" x14ac:dyDescent="0.2">
      <c r="A35" s="9">
        <v>46053</v>
      </c>
      <c r="B35" s="10"/>
      <c r="C35" s="11"/>
      <c r="D35" s="10"/>
      <c r="E35" s="11"/>
      <c r="F35" s="12"/>
      <c r="G35" s="11"/>
      <c r="H35" s="10"/>
      <c r="I35" s="11"/>
      <c r="J35" s="12"/>
      <c r="K35" s="13"/>
      <c r="L35" s="13"/>
      <c r="M35" s="11"/>
      <c r="N35" s="10"/>
      <c r="O35" s="11"/>
      <c r="P35" s="13"/>
      <c r="Q35" s="13"/>
      <c r="R35" s="15">
        <f t="shared" si="0"/>
        <v>0</v>
      </c>
      <c r="S35" s="16"/>
      <c r="T35" s="16"/>
      <c r="U35" s="17">
        <f t="shared" si="1"/>
        <v>0</v>
      </c>
      <c r="V35" s="18">
        <f t="shared" si="2"/>
        <v>0</v>
      </c>
    </row>
    <row r="36" spans="1:23" x14ac:dyDescent="0.2">
      <c r="A36" s="19" t="s">
        <v>26</v>
      </c>
      <c r="B36" s="20">
        <f t="shared" ref="B36:U36" si="3">SUM(B5:B35)</f>
        <v>0</v>
      </c>
      <c r="C36" s="20">
        <f t="shared" si="3"/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si="3"/>
        <v>0</v>
      </c>
      <c r="O36" s="20">
        <f t="shared" si="3"/>
        <v>0</v>
      </c>
      <c r="P36" s="20">
        <f t="shared" si="3"/>
        <v>0</v>
      </c>
      <c r="Q36" s="20"/>
      <c r="R36" s="21">
        <f t="shared" si="3"/>
        <v>0</v>
      </c>
      <c r="S36" s="20">
        <f t="shared" si="3"/>
        <v>0</v>
      </c>
      <c r="T36" s="20">
        <f t="shared" si="3"/>
        <v>0</v>
      </c>
      <c r="U36" s="20">
        <f t="shared" si="3"/>
        <v>0</v>
      </c>
      <c r="V36" s="22">
        <f t="shared" si="2"/>
        <v>0</v>
      </c>
      <c r="W36" s="23">
        <f>SUM(W5:W35)</f>
        <v>0</v>
      </c>
    </row>
    <row r="37" spans="1:23" x14ac:dyDescent="0.2"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  <c r="J37" t="s">
        <v>13</v>
      </c>
      <c r="K37" t="s">
        <v>14</v>
      </c>
      <c r="L37" t="s">
        <v>15</v>
      </c>
      <c r="M37" t="s">
        <v>16</v>
      </c>
      <c r="N37" t="s">
        <v>17</v>
      </c>
      <c r="O37" t="s">
        <v>18</v>
      </c>
      <c r="P37" t="s">
        <v>27</v>
      </c>
      <c r="Q37" t="s">
        <v>20</v>
      </c>
      <c r="R37" t="s">
        <v>21</v>
      </c>
      <c r="S37" t="s">
        <v>22</v>
      </c>
      <c r="T37" t="s">
        <v>3</v>
      </c>
      <c r="U37" t="s">
        <v>23</v>
      </c>
      <c r="V3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2027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2026-03-10T01:27:13Z</dcterms:created>
  <dcterms:modified xsi:type="dcterms:W3CDTF">2026-05-23T13:24:45Z</dcterms:modified>
</cp:coreProperties>
</file>