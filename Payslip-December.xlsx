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semariedeasis/Documents/"/>
    </mc:Choice>
  </mc:AlternateContent>
  <xr:revisionPtr revIDLastSave="0" documentId="13_ncr:1_{09B4EC2C-8B7E-0B4A-8ACA-766A8447C6CB}" xr6:coauthVersionLast="47" xr6:coauthVersionMax="47" xr10:uidLastSave="{00000000-0000-0000-0000-000000000000}"/>
  <bookViews>
    <workbookView xWindow="420" yWindow="660" windowWidth="25180" windowHeight="14780" firstSheet="3" activeTab="14" xr2:uid="{87659C63-C716-414E-B44C-EA3F548900C7}"/>
  </bookViews>
  <sheets>
    <sheet name="ETET" sheetId="2" r:id="rId1"/>
    <sheet name="ALBERT" sheetId="4" r:id="rId2"/>
    <sheet name="JEPOY" sheetId="3" r:id="rId3"/>
    <sheet name="SHA" sheetId="5" r:id="rId4"/>
    <sheet name="VIC" sheetId="6" r:id="rId5"/>
    <sheet name="AMY" sheetId="7" r:id="rId6"/>
    <sheet name="ZYKA" sheetId="8" r:id="rId7"/>
    <sheet name="JESS" sheetId="9" r:id="rId8"/>
    <sheet name="AGNES" sheetId="10" r:id="rId9"/>
    <sheet name="JANE" sheetId="11" r:id="rId10"/>
    <sheet name="MICH" sheetId="12" r:id="rId11"/>
    <sheet name="IKA" sheetId="13" r:id="rId12"/>
    <sheet name="CYRIL" sheetId="14" r:id="rId13"/>
    <sheet name="RONA" sheetId="15" r:id="rId14"/>
    <sheet name="December payslip" sheetId="18" r:id="rId15"/>
    <sheet name="INA" sheetId="16" r:id="rId16"/>
    <sheet name="EXTRA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8" i="18" l="1"/>
  <c r="B168" i="18"/>
  <c r="J29" i="16"/>
  <c r="F158" i="18"/>
  <c r="B158" i="18"/>
  <c r="J27" i="15"/>
  <c r="F149" i="18"/>
  <c r="B149" i="18"/>
  <c r="J29" i="14"/>
  <c r="F176" i="18"/>
  <c r="B176" i="18"/>
  <c r="J26" i="13"/>
  <c r="F136" i="18"/>
  <c r="B136" i="18"/>
  <c r="G124" i="18"/>
  <c r="F124" i="18"/>
  <c r="H124" i="18" s="1"/>
  <c r="C124" i="18"/>
  <c r="B124" i="18"/>
  <c r="D124" i="18" s="1"/>
  <c r="J30" i="11"/>
  <c r="F111" i="18"/>
  <c r="B111" i="18"/>
  <c r="J28" i="10"/>
  <c r="F85" i="18"/>
  <c r="F73" i="18"/>
  <c r="F61" i="18"/>
  <c r="F47" i="18"/>
  <c r="F34" i="18"/>
  <c r="F23" i="18"/>
  <c r="F11" i="18"/>
  <c r="F96" i="18"/>
  <c r="B96" i="18"/>
  <c r="J27" i="9"/>
  <c r="B85" i="18"/>
  <c r="J28" i="8"/>
  <c r="B73" i="18"/>
  <c r="J27" i="7"/>
  <c r="B61" i="18"/>
  <c r="J29" i="6"/>
  <c r="B47" i="18"/>
  <c r="J30" i="5"/>
  <c r="B34" i="18"/>
  <c r="J28" i="3"/>
  <c r="B23" i="18"/>
  <c r="J29" i="4"/>
  <c r="B11" i="18"/>
  <c r="J29" i="2"/>
  <c r="E23" i="2"/>
  <c r="C28" i="16"/>
  <c r="G28" i="4"/>
  <c r="G27" i="5"/>
  <c r="C32" i="11"/>
  <c r="C33" i="11"/>
  <c r="C26" i="11"/>
  <c r="C27" i="11"/>
  <c r="C28" i="11"/>
  <c r="C29" i="11"/>
  <c r="C30" i="11"/>
  <c r="C31" i="11"/>
  <c r="C24" i="11"/>
  <c r="C25" i="11"/>
  <c r="C23" i="11"/>
  <c r="I21" i="15"/>
  <c r="I22" i="14"/>
  <c r="I21" i="13"/>
  <c r="J22" i="16"/>
  <c r="I22" i="11"/>
  <c r="J21" i="10"/>
  <c r="J13" i="9" l="1"/>
  <c r="J20" i="9"/>
  <c r="J21" i="8"/>
  <c r="J14" i="8"/>
  <c r="J20" i="7"/>
  <c r="J21" i="6"/>
  <c r="J22" i="5"/>
  <c r="J21" i="3"/>
  <c r="J22" i="4"/>
  <c r="J22" i="2"/>
  <c r="J15" i="4"/>
  <c r="C19" i="11"/>
  <c r="C20" i="11"/>
  <c r="C21" i="11"/>
  <c r="G21" i="11" s="1"/>
  <c r="C18" i="11"/>
  <c r="C17" i="11"/>
  <c r="C16" i="11"/>
  <c r="C15" i="16"/>
  <c r="C29" i="9"/>
  <c r="C30" i="9"/>
  <c r="G30" i="9" s="1"/>
  <c r="C31" i="9"/>
  <c r="C32" i="9"/>
  <c r="C33" i="9"/>
  <c r="C20" i="9"/>
  <c r="C21" i="9"/>
  <c r="G21" i="9" s="1"/>
  <c r="C22" i="9"/>
  <c r="C23" i="9"/>
  <c r="C24" i="9"/>
  <c r="G24" i="9" s="1"/>
  <c r="C25" i="9"/>
  <c r="G25" i="9" s="1"/>
  <c r="C26" i="9"/>
  <c r="G26" i="9" s="1"/>
  <c r="C27" i="9"/>
  <c r="G27" i="9" s="1"/>
  <c r="C28" i="9"/>
  <c r="G28" i="9" s="1"/>
  <c r="C16" i="9"/>
  <c r="G16" i="9" s="1"/>
  <c r="C17" i="9"/>
  <c r="C18" i="9"/>
  <c r="G18" i="9" s="1"/>
  <c r="C19" i="9"/>
  <c r="C15" i="9"/>
  <c r="G29" i="11"/>
  <c r="G30" i="11"/>
  <c r="G32" i="11"/>
  <c r="C22" i="11"/>
  <c r="G23" i="11"/>
  <c r="G24" i="11"/>
  <c r="C14" i="11"/>
  <c r="C15" i="11"/>
  <c r="G16" i="11"/>
  <c r="G17" i="11"/>
  <c r="C13" i="5"/>
  <c r="C9" i="11"/>
  <c r="C10" i="11"/>
  <c r="C11" i="11"/>
  <c r="C12" i="11"/>
  <c r="G12" i="11" s="1"/>
  <c r="C13" i="11"/>
  <c r="G13" i="11" s="1"/>
  <c r="C8" i="11"/>
  <c r="K14" i="16"/>
  <c r="K15" i="15"/>
  <c r="J15" i="14"/>
  <c r="J15" i="13"/>
  <c r="I13" i="11"/>
  <c r="J14" i="10"/>
  <c r="J13" i="7"/>
  <c r="J14" i="6"/>
  <c r="J14" i="5"/>
  <c r="J14" i="3"/>
  <c r="J15" i="2"/>
  <c r="L6" i="9"/>
  <c r="J6" i="9"/>
  <c r="J7" i="16"/>
  <c r="J7" i="14"/>
  <c r="J7" i="15"/>
  <c r="J6" i="11"/>
  <c r="J7" i="13"/>
  <c r="K8" i="4"/>
  <c r="L8" i="2"/>
  <c r="J8" i="2"/>
  <c r="C4" i="14"/>
  <c r="C5" i="14"/>
  <c r="C6" i="14"/>
  <c r="G6" i="14" s="1"/>
  <c r="C7" i="14"/>
  <c r="G7" i="14" s="1"/>
  <c r="C8" i="14"/>
  <c r="G8" i="14" s="1"/>
  <c r="C9" i="14"/>
  <c r="G9" i="14" s="1"/>
  <c r="C10" i="14"/>
  <c r="G10" i="14" s="1"/>
  <c r="C11" i="14"/>
  <c r="C12" i="14"/>
  <c r="C13" i="14"/>
  <c r="G13" i="14" s="1"/>
  <c r="C14" i="14"/>
  <c r="G14" i="14" s="1"/>
  <c r="C15" i="14"/>
  <c r="G15" i="14" s="1"/>
  <c r="C16" i="14"/>
  <c r="G16" i="14" s="1"/>
  <c r="C17" i="14"/>
  <c r="G17" i="14" s="1"/>
  <c r="C18" i="14"/>
  <c r="G18" i="14" s="1"/>
  <c r="C19" i="14"/>
  <c r="C20" i="14"/>
  <c r="C21" i="14"/>
  <c r="C22" i="14"/>
  <c r="G22" i="14" s="1"/>
  <c r="C23" i="14"/>
  <c r="G23" i="14" s="1"/>
  <c r="C24" i="14"/>
  <c r="G24" i="14" s="1"/>
  <c r="C25" i="14"/>
  <c r="G25" i="14" s="1"/>
  <c r="C26" i="14"/>
  <c r="G26" i="14" s="1"/>
  <c r="C27" i="14"/>
  <c r="C28" i="14"/>
  <c r="G28" i="14" s="1"/>
  <c r="C29" i="14"/>
  <c r="G29" i="14" s="1"/>
  <c r="C30" i="14"/>
  <c r="C31" i="14"/>
  <c r="G31" i="14" s="1"/>
  <c r="C32" i="14"/>
  <c r="G32" i="14" s="1"/>
  <c r="C33" i="14"/>
  <c r="G33" i="14" s="1"/>
  <c r="C3" i="14"/>
  <c r="C6" i="13"/>
  <c r="G6" i="13" s="1"/>
  <c r="C7" i="13"/>
  <c r="G7" i="13" s="1"/>
  <c r="C8" i="13"/>
  <c r="G8" i="13" s="1"/>
  <c r="C9" i="13"/>
  <c r="G9" i="13" s="1"/>
  <c r="C10" i="13"/>
  <c r="G10" i="13" s="1"/>
  <c r="C11" i="13"/>
  <c r="G11" i="13" s="1"/>
  <c r="C12" i="13"/>
  <c r="G12" i="13" s="1"/>
  <c r="C13" i="13"/>
  <c r="G13" i="13" s="1"/>
  <c r="C14" i="13"/>
  <c r="C15" i="13"/>
  <c r="G15" i="13" s="1"/>
  <c r="C16" i="13"/>
  <c r="G16" i="13" s="1"/>
  <c r="C17" i="13"/>
  <c r="G17" i="13" s="1"/>
  <c r="C18" i="13"/>
  <c r="G18" i="13" s="1"/>
  <c r="C19" i="13"/>
  <c r="G19" i="13" s="1"/>
  <c r="C20" i="13"/>
  <c r="G20" i="13" s="1"/>
  <c r="C21" i="13"/>
  <c r="G21" i="13" s="1"/>
  <c r="C22" i="13"/>
  <c r="G22" i="13" s="1"/>
  <c r="C23" i="13"/>
  <c r="G23" i="13" s="1"/>
  <c r="C24" i="13"/>
  <c r="G24" i="13" s="1"/>
  <c r="C25" i="13"/>
  <c r="G25" i="13" s="1"/>
  <c r="C26" i="13"/>
  <c r="G26" i="13" s="1"/>
  <c r="C27" i="13"/>
  <c r="G27" i="13" s="1"/>
  <c r="C28" i="13"/>
  <c r="G28" i="13" s="1"/>
  <c r="C29" i="13"/>
  <c r="G29" i="13" s="1"/>
  <c r="C30" i="13"/>
  <c r="C31" i="13"/>
  <c r="C32" i="13"/>
  <c r="G32" i="13" s="1"/>
  <c r="C33" i="13"/>
  <c r="G33" i="13" s="1"/>
  <c r="C5" i="13"/>
  <c r="G5" i="13" s="1"/>
  <c r="C4" i="13"/>
  <c r="G4" i="13" s="1"/>
  <c r="C3" i="13"/>
  <c r="G3" i="13" s="1"/>
  <c r="C33" i="16"/>
  <c r="G33" i="16" s="1"/>
  <c r="C32" i="16"/>
  <c r="G32" i="16" s="1"/>
  <c r="C31" i="16"/>
  <c r="G31" i="16" s="1"/>
  <c r="C30" i="16"/>
  <c r="G30" i="16" s="1"/>
  <c r="C29" i="16"/>
  <c r="G29" i="16" s="1"/>
  <c r="G28" i="16"/>
  <c r="C27" i="16"/>
  <c r="G27" i="16" s="1"/>
  <c r="C26" i="16"/>
  <c r="G26" i="16" s="1"/>
  <c r="C25" i="16"/>
  <c r="G25" i="16" s="1"/>
  <c r="C24" i="16"/>
  <c r="G24" i="16" s="1"/>
  <c r="C23" i="16"/>
  <c r="G23" i="16" s="1"/>
  <c r="C22" i="16"/>
  <c r="G22" i="16" s="1"/>
  <c r="C21" i="16"/>
  <c r="G21" i="16" s="1"/>
  <c r="C20" i="16"/>
  <c r="G20" i="16" s="1"/>
  <c r="C19" i="16"/>
  <c r="G19" i="16" s="1"/>
  <c r="C18" i="16"/>
  <c r="G18" i="16" s="1"/>
  <c r="C17" i="16"/>
  <c r="G17" i="16" s="1"/>
  <c r="C16" i="16"/>
  <c r="G16" i="16" s="1"/>
  <c r="G15" i="16"/>
  <c r="C14" i="16"/>
  <c r="G14" i="16" s="1"/>
  <c r="C13" i="16"/>
  <c r="G13" i="16" s="1"/>
  <c r="C12" i="16"/>
  <c r="G12" i="16" s="1"/>
  <c r="C11" i="16"/>
  <c r="G11" i="16" s="1"/>
  <c r="C10" i="16"/>
  <c r="G10" i="16" s="1"/>
  <c r="C9" i="16"/>
  <c r="G9" i="16" s="1"/>
  <c r="C8" i="16"/>
  <c r="G8" i="16" s="1"/>
  <c r="C7" i="16"/>
  <c r="G7" i="16" s="1"/>
  <c r="C6" i="16"/>
  <c r="G6" i="16" s="1"/>
  <c r="C5" i="16"/>
  <c r="G5" i="16" s="1"/>
  <c r="C4" i="16"/>
  <c r="G4" i="16" s="1"/>
  <c r="C3" i="16"/>
  <c r="G3" i="16" s="1"/>
  <c r="G33" i="9"/>
  <c r="G32" i="9"/>
  <c r="G31" i="9"/>
  <c r="G29" i="9"/>
  <c r="G23" i="9"/>
  <c r="G22" i="9"/>
  <c r="G20" i="9"/>
  <c r="G19" i="9"/>
  <c r="G17" i="9"/>
  <c r="G15" i="9"/>
  <c r="G14" i="9"/>
  <c r="G13" i="9"/>
  <c r="G12" i="9"/>
  <c r="G11" i="9"/>
  <c r="G10" i="9"/>
  <c r="C9" i="9"/>
  <c r="G9" i="9" s="1"/>
  <c r="C8" i="9"/>
  <c r="G8" i="9" s="1"/>
  <c r="C7" i="9"/>
  <c r="G7" i="9" s="1"/>
  <c r="C6" i="9"/>
  <c r="G6" i="9" s="1"/>
  <c r="C5" i="9"/>
  <c r="G5" i="9" s="1"/>
  <c r="C4" i="9"/>
  <c r="G4" i="9" s="1"/>
  <c r="C3" i="9"/>
  <c r="G3" i="9" s="1"/>
  <c r="G33" i="15"/>
  <c r="C33" i="15"/>
  <c r="C32" i="15"/>
  <c r="G32" i="15" s="1"/>
  <c r="C31" i="15"/>
  <c r="G31" i="15" s="1"/>
  <c r="C30" i="15"/>
  <c r="G30" i="15" s="1"/>
  <c r="C29" i="15"/>
  <c r="G29" i="15" s="1"/>
  <c r="C28" i="15"/>
  <c r="G28" i="15" s="1"/>
  <c r="C27" i="15"/>
  <c r="G27" i="15" s="1"/>
  <c r="C26" i="15"/>
  <c r="G26" i="15" s="1"/>
  <c r="C25" i="15"/>
  <c r="G25" i="15" s="1"/>
  <c r="C24" i="15"/>
  <c r="G24" i="15" s="1"/>
  <c r="C23" i="15"/>
  <c r="G23" i="15" s="1"/>
  <c r="C22" i="15"/>
  <c r="G22" i="15" s="1"/>
  <c r="C21" i="15"/>
  <c r="G21" i="15" s="1"/>
  <c r="C20" i="15"/>
  <c r="G20" i="15" s="1"/>
  <c r="C19" i="15"/>
  <c r="G19" i="15" s="1"/>
  <c r="C18" i="15"/>
  <c r="G18" i="15" s="1"/>
  <c r="C17" i="15"/>
  <c r="G17" i="15" s="1"/>
  <c r="C16" i="15"/>
  <c r="G16" i="15" s="1"/>
  <c r="C15" i="15"/>
  <c r="G15" i="15" s="1"/>
  <c r="C14" i="15"/>
  <c r="G14" i="15" s="1"/>
  <c r="C13" i="15"/>
  <c r="G13" i="15" s="1"/>
  <c r="C12" i="15"/>
  <c r="G12" i="15" s="1"/>
  <c r="C11" i="15"/>
  <c r="G11" i="15" s="1"/>
  <c r="C10" i="15"/>
  <c r="G10" i="15" s="1"/>
  <c r="C9" i="15"/>
  <c r="G9" i="15" s="1"/>
  <c r="C8" i="15"/>
  <c r="G8" i="15" s="1"/>
  <c r="C7" i="15"/>
  <c r="G7" i="15" s="1"/>
  <c r="C6" i="15"/>
  <c r="G6" i="15" s="1"/>
  <c r="C5" i="15"/>
  <c r="G5" i="15" s="1"/>
  <c r="C4" i="15"/>
  <c r="G4" i="15" s="1"/>
  <c r="C3" i="15"/>
  <c r="G3" i="15" s="1"/>
  <c r="G30" i="14"/>
  <c r="G27" i="14"/>
  <c r="G21" i="14"/>
  <c r="G20" i="14"/>
  <c r="G19" i="14"/>
  <c r="G12" i="14"/>
  <c r="G11" i="14"/>
  <c r="G5" i="14"/>
  <c r="G4" i="14"/>
  <c r="G3" i="14"/>
  <c r="G31" i="13"/>
  <c r="G30" i="13"/>
  <c r="G14" i="13"/>
  <c r="C33" i="12"/>
  <c r="G33" i="12" s="1"/>
  <c r="C32" i="12"/>
  <c r="G32" i="12" s="1"/>
  <c r="C31" i="12"/>
  <c r="G31" i="12" s="1"/>
  <c r="C30" i="12"/>
  <c r="G30" i="12" s="1"/>
  <c r="C29" i="12"/>
  <c r="G29" i="12" s="1"/>
  <c r="C28" i="12"/>
  <c r="G28" i="12" s="1"/>
  <c r="C27" i="12"/>
  <c r="G27" i="12" s="1"/>
  <c r="C26" i="12"/>
  <c r="G26" i="12" s="1"/>
  <c r="C25" i="12"/>
  <c r="G25" i="12" s="1"/>
  <c r="C24" i="12"/>
  <c r="G24" i="12" s="1"/>
  <c r="C23" i="12"/>
  <c r="G23" i="12" s="1"/>
  <c r="C22" i="12"/>
  <c r="G22" i="12" s="1"/>
  <c r="C21" i="12"/>
  <c r="G21" i="12" s="1"/>
  <c r="C20" i="12"/>
  <c r="G20" i="12" s="1"/>
  <c r="C19" i="12"/>
  <c r="G19" i="12" s="1"/>
  <c r="C18" i="12"/>
  <c r="G18" i="12" s="1"/>
  <c r="C17" i="12"/>
  <c r="G17" i="12" s="1"/>
  <c r="C16" i="12"/>
  <c r="G16" i="12" s="1"/>
  <c r="C15" i="12"/>
  <c r="G15" i="12" s="1"/>
  <c r="C14" i="12"/>
  <c r="G14" i="12" s="1"/>
  <c r="C13" i="12"/>
  <c r="G13" i="12" s="1"/>
  <c r="C12" i="12"/>
  <c r="G12" i="12" s="1"/>
  <c r="C11" i="12"/>
  <c r="G11" i="12" s="1"/>
  <c r="C10" i="12"/>
  <c r="G10" i="12" s="1"/>
  <c r="C9" i="12"/>
  <c r="G9" i="12" s="1"/>
  <c r="C8" i="12"/>
  <c r="G8" i="12" s="1"/>
  <c r="C7" i="12"/>
  <c r="G7" i="12" s="1"/>
  <c r="C6" i="12"/>
  <c r="G6" i="12" s="1"/>
  <c r="C5" i="12"/>
  <c r="G5" i="12" s="1"/>
  <c r="C4" i="12"/>
  <c r="G4" i="12" s="1"/>
  <c r="C3" i="12"/>
  <c r="G3" i="12" s="1"/>
  <c r="C4" i="11"/>
  <c r="C5" i="11"/>
  <c r="C6" i="11"/>
  <c r="C7" i="11"/>
  <c r="G7" i="11" s="1"/>
  <c r="G8" i="11"/>
  <c r="G11" i="11"/>
  <c r="G15" i="11"/>
  <c r="G19" i="11"/>
  <c r="G25" i="11"/>
  <c r="G26" i="11"/>
  <c r="G27" i="11"/>
  <c r="G28" i="11"/>
  <c r="G31" i="11"/>
  <c r="G33" i="11"/>
  <c r="C3" i="11"/>
  <c r="G3" i="11" s="1"/>
  <c r="G22" i="11"/>
  <c r="G20" i="11"/>
  <c r="G18" i="11"/>
  <c r="G14" i="11"/>
  <c r="G10" i="11"/>
  <c r="G9" i="11"/>
  <c r="G6" i="11"/>
  <c r="G5" i="11"/>
  <c r="G4" i="11"/>
  <c r="E33" i="10"/>
  <c r="C33" i="10"/>
  <c r="E32" i="10"/>
  <c r="C32" i="10"/>
  <c r="G32" i="10" s="1"/>
  <c r="G31" i="10"/>
  <c r="E31" i="10"/>
  <c r="C31" i="10"/>
  <c r="E30" i="10"/>
  <c r="C30" i="10"/>
  <c r="E29" i="10"/>
  <c r="C29" i="10"/>
  <c r="E28" i="10"/>
  <c r="C28" i="10"/>
  <c r="E27" i="10"/>
  <c r="C27" i="10"/>
  <c r="E26" i="10"/>
  <c r="C26" i="10"/>
  <c r="E25" i="10"/>
  <c r="C25" i="10"/>
  <c r="G25" i="10" s="1"/>
  <c r="E24" i="10"/>
  <c r="C24" i="10"/>
  <c r="E23" i="10"/>
  <c r="C23" i="10"/>
  <c r="E22" i="10"/>
  <c r="C22" i="10"/>
  <c r="E21" i="10"/>
  <c r="C21" i="10"/>
  <c r="E20" i="10"/>
  <c r="C20" i="10"/>
  <c r="E19" i="10"/>
  <c r="C19" i="10"/>
  <c r="E18" i="10"/>
  <c r="C18" i="10"/>
  <c r="E17" i="10"/>
  <c r="C17" i="10"/>
  <c r="E16" i="10"/>
  <c r="C16" i="10"/>
  <c r="E15" i="10"/>
  <c r="C15" i="10"/>
  <c r="E14" i="10"/>
  <c r="C14" i="10"/>
  <c r="E13" i="10"/>
  <c r="C13" i="10"/>
  <c r="E12" i="10"/>
  <c r="C12" i="10"/>
  <c r="E11" i="10"/>
  <c r="C11" i="10"/>
  <c r="E10" i="10"/>
  <c r="C10" i="10"/>
  <c r="E9" i="10"/>
  <c r="C9" i="10"/>
  <c r="G9" i="10" s="1"/>
  <c r="E8" i="10"/>
  <c r="C8" i="10"/>
  <c r="E7" i="10"/>
  <c r="C7" i="10"/>
  <c r="E6" i="10"/>
  <c r="C6" i="10"/>
  <c r="E5" i="10"/>
  <c r="C5" i="10"/>
  <c r="G5" i="10" s="1"/>
  <c r="E4" i="10"/>
  <c r="C4" i="10"/>
  <c r="E3" i="10"/>
  <c r="C3" i="10"/>
  <c r="E33" i="8"/>
  <c r="C33" i="8"/>
  <c r="E32" i="8"/>
  <c r="C32" i="8"/>
  <c r="G32" i="8" s="1"/>
  <c r="E31" i="8"/>
  <c r="C31" i="8"/>
  <c r="E30" i="8"/>
  <c r="C30" i="8"/>
  <c r="E29" i="8"/>
  <c r="C29" i="8"/>
  <c r="E28" i="8"/>
  <c r="C28" i="8"/>
  <c r="G28" i="8" s="1"/>
  <c r="E27" i="8"/>
  <c r="C27" i="8"/>
  <c r="E26" i="8"/>
  <c r="C26" i="8"/>
  <c r="E25" i="8"/>
  <c r="C25" i="8"/>
  <c r="E24" i="8"/>
  <c r="C24" i="8"/>
  <c r="G24" i="8" s="1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E3" i="8"/>
  <c r="C3" i="8"/>
  <c r="E4" i="7"/>
  <c r="E5" i="7"/>
  <c r="G5" i="7" s="1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G27" i="7" s="1"/>
  <c r="E28" i="7"/>
  <c r="E29" i="7"/>
  <c r="E30" i="7"/>
  <c r="E31" i="7"/>
  <c r="E32" i="7"/>
  <c r="E33" i="7"/>
  <c r="E3" i="7"/>
  <c r="C4" i="7"/>
  <c r="C5" i="7"/>
  <c r="C6" i="7"/>
  <c r="G6" i="7" s="1"/>
  <c r="C7" i="7"/>
  <c r="C8" i="7"/>
  <c r="G8" i="7" s="1"/>
  <c r="C9" i="7"/>
  <c r="C10" i="7"/>
  <c r="C11" i="7"/>
  <c r="G11" i="7" s="1"/>
  <c r="C12" i="7"/>
  <c r="G12" i="7" s="1"/>
  <c r="C13" i="7"/>
  <c r="C14" i="7"/>
  <c r="C15" i="7"/>
  <c r="C16" i="7"/>
  <c r="G16" i="7" s="1"/>
  <c r="C17" i="7"/>
  <c r="C18" i="7"/>
  <c r="C19" i="7"/>
  <c r="G19" i="7" s="1"/>
  <c r="C20" i="7"/>
  <c r="C21" i="7"/>
  <c r="C22" i="7"/>
  <c r="C23" i="7"/>
  <c r="C24" i="7"/>
  <c r="C25" i="7"/>
  <c r="C26" i="7"/>
  <c r="C27" i="7"/>
  <c r="C28" i="7"/>
  <c r="C29" i="7"/>
  <c r="C30" i="7"/>
  <c r="G30" i="7" s="1"/>
  <c r="C31" i="7"/>
  <c r="C32" i="7"/>
  <c r="G32" i="7" s="1"/>
  <c r="C33" i="7"/>
  <c r="C3" i="7"/>
  <c r="G31" i="6"/>
  <c r="E30" i="6"/>
  <c r="G30" i="6" s="1"/>
  <c r="E31" i="6"/>
  <c r="E32" i="6"/>
  <c r="C30" i="6"/>
  <c r="C31" i="6"/>
  <c r="C32" i="6"/>
  <c r="G32" i="6" s="1"/>
  <c r="G31" i="5"/>
  <c r="E30" i="5"/>
  <c r="G30" i="5" s="1"/>
  <c r="E31" i="5"/>
  <c r="E32" i="5"/>
  <c r="E33" i="5"/>
  <c r="C30" i="5"/>
  <c r="C31" i="5"/>
  <c r="C32" i="5"/>
  <c r="G32" i="5" s="1"/>
  <c r="E33" i="6"/>
  <c r="C33" i="6"/>
  <c r="G33" i="6" s="1"/>
  <c r="E29" i="6"/>
  <c r="C29" i="6"/>
  <c r="G29" i="6" s="1"/>
  <c r="E28" i="6"/>
  <c r="C28" i="6"/>
  <c r="G28" i="6" s="1"/>
  <c r="E27" i="6"/>
  <c r="C27" i="6"/>
  <c r="E26" i="6"/>
  <c r="C26" i="6"/>
  <c r="E25" i="6"/>
  <c r="C25" i="6"/>
  <c r="E24" i="6"/>
  <c r="C24" i="6"/>
  <c r="G24" i="6" s="1"/>
  <c r="E23" i="6"/>
  <c r="C23" i="6"/>
  <c r="G23" i="6" s="1"/>
  <c r="E22" i="6"/>
  <c r="C22" i="6"/>
  <c r="G22" i="6" s="1"/>
  <c r="E21" i="6"/>
  <c r="C21" i="6"/>
  <c r="G21" i="6" s="1"/>
  <c r="E20" i="6"/>
  <c r="G20" i="6" s="1"/>
  <c r="C20" i="6"/>
  <c r="E19" i="6"/>
  <c r="C19" i="6"/>
  <c r="E18" i="6"/>
  <c r="G18" i="6" s="1"/>
  <c r="C18" i="6"/>
  <c r="E17" i="6"/>
  <c r="C17" i="6"/>
  <c r="G17" i="6" s="1"/>
  <c r="E16" i="6"/>
  <c r="C16" i="6"/>
  <c r="E15" i="6"/>
  <c r="C15" i="6"/>
  <c r="G15" i="6" s="1"/>
  <c r="E14" i="6"/>
  <c r="C14" i="6"/>
  <c r="G14" i="6" s="1"/>
  <c r="E13" i="6"/>
  <c r="C13" i="6"/>
  <c r="G13" i="6" s="1"/>
  <c r="E12" i="6"/>
  <c r="C12" i="6"/>
  <c r="E11" i="6"/>
  <c r="C11" i="6"/>
  <c r="E10" i="6"/>
  <c r="C10" i="6"/>
  <c r="E9" i="6"/>
  <c r="C9" i="6"/>
  <c r="E8" i="6"/>
  <c r="C8" i="6"/>
  <c r="E7" i="6"/>
  <c r="C7" i="6"/>
  <c r="G7" i="6" s="1"/>
  <c r="E6" i="6"/>
  <c r="C6" i="6"/>
  <c r="G6" i="6" s="1"/>
  <c r="E5" i="6"/>
  <c r="C5" i="6"/>
  <c r="G5" i="6" s="1"/>
  <c r="E4" i="6"/>
  <c r="C4" i="6"/>
  <c r="G4" i="6" s="1"/>
  <c r="E3" i="6"/>
  <c r="C3" i="6"/>
  <c r="G3" i="6" s="1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G10" i="5" s="1"/>
  <c r="E9" i="5"/>
  <c r="E8" i="5"/>
  <c r="E7" i="5"/>
  <c r="E6" i="5"/>
  <c r="E5" i="5"/>
  <c r="E4" i="5"/>
  <c r="C33" i="5"/>
  <c r="G33" i="5" s="1"/>
  <c r="C29" i="5"/>
  <c r="G29" i="5" s="1"/>
  <c r="C28" i="5"/>
  <c r="C27" i="5"/>
  <c r="C26" i="5"/>
  <c r="C25" i="5"/>
  <c r="C24" i="5"/>
  <c r="G24" i="5" s="1"/>
  <c r="C23" i="5"/>
  <c r="C22" i="5"/>
  <c r="G22" i="5" s="1"/>
  <c r="C21" i="5"/>
  <c r="G21" i="5" s="1"/>
  <c r="C20" i="5"/>
  <c r="C19" i="5"/>
  <c r="G19" i="5" s="1"/>
  <c r="C18" i="5"/>
  <c r="C17" i="5"/>
  <c r="G17" i="5" s="1"/>
  <c r="C16" i="5"/>
  <c r="G16" i="5" s="1"/>
  <c r="C15" i="5"/>
  <c r="C14" i="5"/>
  <c r="G14" i="5" s="1"/>
  <c r="G13" i="5"/>
  <c r="C12" i="5"/>
  <c r="C11" i="5"/>
  <c r="C10" i="5"/>
  <c r="C9" i="5"/>
  <c r="G9" i="5" s="1"/>
  <c r="C8" i="5"/>
  <c r="G8" i="5" s="1"/>
  <c r="C7" i="5"/>
  <c r="C6" i="5"/>
  <c r="G6" i="5" s="1"/>
  <c r="C5" i="5"/>
  <c r="G5" i="5" s="1"/>
  <c r="C4" i="5"/>
  <c r="E3" i="5"/>
  <c r="C3" i="5"/>
  <c r="G3" i="5" s="1"/>
  <c r="F35" i="4"/>
  <c r="D35" i="4"/>
  <c r="B35" i="4"/>
  <c r="E33" i="4"/>
  <c r="C33" i="4"/>
  <c r="E32" i="4"/>
  <c r="C32" i="4"/>
  <c r="E31" i="4"/>
  <c r="G31" i="4" s="1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G23" i="4" s="1"/>
  <c r="C23" i="4"/>
  <c r="E22" i="4"/>
  <c r="C22" i="4"/>
  <c r="E21" i="4"/>
  <c r="C21" i="4"/>
  <c r="G21" i="4" s="1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C7" i="4"/>
  <c r="E6" i="4"/>
  <c r="C6" i="4"/>
  <c r="E5" i="4"/>
  <c r="C5" i="4"/>
  <c r="E4" i="4"/>
  <c r="C4" i="4"/>
  <c r="F35" i="3"/>
  <c r="D35" i="3"/>
  <c r="B35" i="3"/>
  <c r="E33" i="3"/>
  <c r="C33" i="3"/>
  <c r="G33" i="3" s="1"/>
  <c r="E32" i="3"/>
  <c r="C32" i="3"/>
  <c r="E31" i="3"/>
  <c r="C31" i="3"/>
  <c r="G31" i="3" s="1"/>
  <c r="E30" i="3"/>
  <c r="C30" i="3"/>
  <c r="G30" i="3" s="1"/>
  <c r="E29" i="3"/>
  <c r="C29" i="3"/>
  <c r="E28" i="3"/>
  <c r="C28" i="3"/>
  <c r="E27" i="3"/>
  <c r="C27" i="3"/>
  <c r="G27" i="3" s="1"/>
  <c r="E26" i="3"/>
  <c r="C26" i="3"/>
  <c r="E25" i="3"/>
  <c r="C25" i="3"/>
  <c r="G25" i="3" s="1"/>
  <c r="E24" i="3"/>
  <c r="C24" i="3"/>
  <c r="E23" i="3"/>
  <c r="C23" i="3"/>
  <c r="E22" i="3"/>
  <c r="C22" i="3"/>
  <c r="E21" i="3"/>
  <c r="C21" i="3"/>
  <c r="E20" i="3"/>
  <c r="C20" i="3"/>
  <c r="E19" i="3"/>
  <c r="C19" i="3"/>
  <c r="E18" i="3"/>
  <c r="C18" i="3"/>
  <c r="E17" i="3"/>
  <c r="C17" i="3"/>
  <c r="E16" i="3"/>
  <c r="C16" i="3"/>
  <c r="E15" i="3"/>
  <c r="C15" i="3"/>
  <c r="E14" i="3"/>
  <c r="C14" i="3"/>
  <c r="G14" i="3" s="1"/>
  <c r="E13" i="3"/>
  <c r="C13" i="3"/>
  <c r="E12" i="3"/>
  <c r="C12" i="3"/>
  <c r="G12" i="3" s="1"/>
  <c r="E11" i="3"/>
  <c r="C11" i="3"/>
  <c r="E10" i="3"/>
  <c r="C10" i="3"/>
  <c r="E9" i="3"/>
  <c r="C9" i="3"/>
  <c r="E8" i="3"/>
  <c r="C8" i="3"/>
  <c r="E7" i="3"/>
  <c r="C7" i="3"/>
  <c r="E6" i="3"/>
  <c r="C6" i="3"/>
  <c r="G6" i="3" s="1"/>
  <c r="E5" i="3"/>
  <c r="C5" i="3"/>
  <c r="E4" i="3"/>
  <c r="C4" i="3"/>
  <c r="F35" i="2"/>
  <c r="D35" i="2"/>
  <c r="B35" i="2"/>
  <c r="E33" i="2"/>
  <c r="C33" i="2"/>
  <c r="E32" i="2"/>
  <c r="C32" i="2"/>
  <c r="E31" i="2"/>
  <c r="C31" i="2"/>
  <c r="E30" i="2"/>
  <c r="C30" i="2"/>
  <c r="E29" i="2"/>
  <c r="C29" i="2"/>
  <c r="E28" i="2"/>
  <c r="C28" i="2"/>
  <c r="E27" i="2"/>
  <c r="C27" i="2"/>
  <c r="E26" i="2"/>
  <c r="C26" i="2"/>
  <c r="E25" i="2"/>
  <c r="C25" i="2"/>
  <c r="E24" i="2"/>
  <c r="C24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G22" i="7" l="1"/>
  <c r="G28" i="7"/>
  <c r="G29" i="4"/>
  <c r="G28" i="10"/>
  <c r="G26" i="6"/>
  <c r="G26" i="3"/>
  <c r="G24" i="7"/>
  <c r="G21" i="7"/>
  <c r="G22" i="3"/>
  <c r="G21" i="3"/>
  <c r="G20" i="10"/>
  <c r="G20" i="7"/>
  <c r="G20" i="4"/>
  <c r="G18" i="5"/>
  <c r="G17" i="3"/>
  <c r="G14" i="7"/>
  <c r="G14" i="4"/>
  <c r="G12" i="6"/>
  <c r="G13" i="3"/>
  <c r="G11" i="5"/>
  <c r="G11" i="4"/>
  <c r="G10" i="10"/>
  <c r="G11" i="3"/>
  <c r="G26" i="5"/>
  <c r="G5" i="3"/>
  <c r="G9" i="3"/>
  <c r="G16" i="3"/>
  <c r="G20" i="3"/>
  <c r="G12" i="4"/>
  <c r="G16" i="4"/>
  <c r="G9" i="6"/>
  <c r="G16" i="6"/>
  <c r="G27" i="6"/>
  <c r="G29" i="7"/>
  <c r="G13" i="7"/>
  <c r="G3" i="8"/>
  <c r="G7" i="8"/>
  <c r="G23" i="8"/>
  <c r="G31" i="8"/>
  <c r="G4" i="10"/>
  <c r="G8" i="10"/>
  <c r="G12" i="10"/>
  <c r="G25" i="4"/>
  <c r="G3" i="7"/>
  <c r="G18" i="7"/>
  <c r="G7" i="3"/>
  <c r="G6" i="4"/>
  <c r="G18" i="4"/>
  <c r="G22" i="4"/>
  <c r="G26" i="4"/>
  <c r="G30" i="4"/>
  <c r="G7" i="5"/>
  <c r="G15" i="5"/>
  <c r="G23" i="5"/>
  <c r="G12" i="5"/>
  <c r="G20" i="5"/>
  <c r="G28" i="5"/>
  <c r="G11" i="6"/>
  <c r="G25" i="6"/>
  <c r="G33" i="7"/>
  <c r="G25" i="7"/>
  <c r="G17" i="7"/>
  <c r="G9" i="7"/>
  <c r="G5" i="8"/>
  <c r="G9" i="8"/>
  <c r="G13" i="8"/>
  <c r="G17" i="8"/>
  <c r="G25" i="8"/>
  <c r="G6" i="10"/>
  <c r="G22" i="10"/>
  <c r="G33" i="10"/>
  <c r="G10" i="6"/>
  <c r="G26" i="7"/>
  <c r="G10" i="7"/>
  <c r="G30" i="10"/>
  <c r="G15" i="3"/>
  <c r="G19" i="3"/>
  <c r="G23" i="3"/>
  <c r="G19" i="4"/>
  <c r="G25" i="5"/>
  <c r="G8" i="6"/>
  <c r="G19" i="6"/>
  <c r="G11" i="10"/>
  <c r="G15" i="10"/>
  <c r="G23" i="10"/>
  <c r="G27" i="10"/>
  <c r="G31" i="7"/>
  <c r="G7" i="7"/>
  <c r="G23" i="7"/>
  <c r="G15" i="7"/>
  <c r="G4" i="7"/>
  <c r="G18" i="10"/>
  <c r="G3" i="10"/>
  <c r="G7" i="10"/>
  <c r="G14" i="10"/>
  <c r="G21" i="10"/>
  <c r="G19" i="10"/>
  <c r="G16" i="10"/>
  <c r="G26" i="10"/>
  <c r="G13" i="10"/>
  <c r="G29" i="10"/>
  <c r="G17" i="10"/>
  <c r="G24" i="10"/>
  <c r="G21" i="8"/>
  <c r="G20" i="8"/>
  <c r="G33" i="8"/>
  <c r="G6" i="8"/>
  <c r="G14" i="8"/>
  <c r="G22" i="8"/>
  <c r="G4" i="5"/>
  <c r="C35" i="3"/>
  <c r="G7" i="4"/>
  <c r="E35" i="4"/>
  <c r="G4" i="8"/>
  <c r="G8" i="8"/>
  <c r="G12" i="8"/>
  <c r="G16" i="8"/>
  <c r="G27" i="8"/>
  <c r="G10" i="8"/>
  <c r="G29" i="8"/>
  <c r="G11" i="8"/>
  <c r="G15" i="8"/>
  <c r="G19" i="8"/>
  <c r="G30" i="8"/>
  <c r="G18" i="8"/>
  <c r="G26" i="8"/>
  <c r="G5" i="4"/>
  <c r="G21" i="2"/>
  <c r="G4" i="4"/>
  <c r="G8" i="4"/>
  <c r="G32" i="4"/>
  <c r="G33" i="4"/>
  <c r="G10" i="4"/>
  <c r="G13" i="4"/>
  <c r="G27" i="4"/>
  <c r="G15" i="4"/>
  <c r="G9" i="4"/>
  <c r="G17" i="4"/>
  <c r="G24" i="4"/>
  <c r="C35" i="4"/>
  <c r="E35" i="3"/>
  <c r="G8" i="3"/>
  <c r="G18" i="3"/>
  <c r="G29" i="3"/>
  <c r="G10" i="3"/>
  <c r="G24" i="3"/>
  <c r="G28" i="3"/>
  <c r="G4" i="3"/>
  <c r="G32" i="3"/>
  <c r="G6" i="2"/>
  <c r="G22" i="2"/>
  <c r="G12" i="2"/>
  <c r="G7" i="2"/>
  <c r="G11" i="2"/>
  <c r="G15" i="2"/>
  <c r="G19" i="2"/>
  <c r="G23" i="2"/>
  <c r="G28" i="2"/>
  <c r="G33" i="2"/>
  <c r="G4" i="2"/>
  <c r="G24" i="2"/>
  <c r="G18" i="2"/>
  <c r="G30" i="2"/>
  <c r="G8" i="2"/>
  <c r="G5" i="2"/>
  <c r="G9" i="2"/>
  <c r="G16" i="2"/>
  <c r="G20" i="2"/>
  <c r="E35" i="2"/>
  <c r="G13" i="2"/>
  <c r="G10" i="2"/>
  <c r="G17" i="2"/>
  <c r="G14" i="2"/>
  <c r="G29" i="2"/>
  <c r="G25" i="2"/>
  <c r="G26" i="2"/>
  <c r="G27" i="2"/>
  <c r="G31" i="2"/>
  <c r="C35" i="2"/>
  <c r="G32" i="2"/>
  <c r="G35" i="4" l="1"/>
  <c r="G35" i="3"/>
  <c r="G35" i="2"/>
  <c r="J6" i="7"/>
  <c r="J6" i="6"/>
  <c r="J8" i="4"/>
  <c r="J6" i="10"/>
  <c r="J7" i="3"/>
  <c r="L7" i="3"/>
  <c r="J6" i="5"/>
  <c r="J6" i="8"/>
</calcChain>
</file>

<file path=xl/sharedStrings.xml><?xml version="1.0" encoding="utf-8"?>
<sst xmlns="http://schemas.openxmlformats.org/spreadsheetml/2006/main" count="631" uniqueCount="187">
  <si>
    <t>DATE</t>
  </si>
  <si>
    <t>Nails Lashes</t>
  </si>
  <si>
    <t>COMI</t>
  </si>
  <si>
    <t>facial/ wax /lamination</t>
  </si>
  <si>
    <t>Daily</t>
  </si>
  <si>
    <t>Net Total</t>
  </si>
  <si>
    <t>TOTAL</t>
  </si>
  <si>
    <t>Genesis Dequito</t>
  </si>
  <si>
    <t>utang</t>
  </si>
  <si>
    <t>Hair done</t>
  </si>
  <si>
    <t xml:space="preserve">Comi </t>
  </si>
  <si>
    <t>Hair cut</t>
  </si>
  <si>
    <t>Comi</t>
  </si>
  <si>
    <t>Net total</t>
  </si>
  <si>
    <t>ca</t>
  </si>
  <si>
    <t>uniform-100</t>
  </si>
  <si>
    <t>UTANG</t>
  </si>
  <si>
    <t>DECEMBER</t>
  </si>
  <si>
    <t>REMAINING</t>
  </si>
  <si>
    <t>JEPOY</t>
  </si>
  <si>
    <t>ALBERT</t>
  </si>
  <si>
    <t>less benefits</t>
  </si>
  <si>
    <t>DATE covered</t>
  </si>
  <si>
    <t>income</t>
  </si>
  <si>
    <t xml:space="preserve"> TOTAL</t>
  </si>
  <si>
    <t>DATE PAID</t>
  </si>
  <si>
    <t>SALIMAR</t>
  </si>
  <si>
    <t>VIC</t>
  </si>
  <si>
    <t>AMY</t>
  </si>
  <si>
    <t>ZYKA</t>
  </si>
  <si>
    <t>JESS</t>
  </si>
  <si>
    <t>AGNES</t>
  </si>
  <si>
    <t>JANE</t>
  </si>
  <si>
    <t>MICH</t>
  </si>
  <si>
    <t>IKA</t>
  </si>
  <si>
    <t>CYRILL</t>
  </si>
  <si>
    <t>RONA</t>
  </si>
  <si>
    <t>CA</t>
  </si>
  <si>
    <t>CAS</t>
  </si>
  <si>
    <t>facial .7 .1</t>
  </si>
  <si>
    <t>.8 .1</t>
  </si>
  <si>
    <t>warts 30/500</t>
  </si>
  <si>
    <t>ina</t>
  </si>
  <si>
    <t>Nov.29</t>
  </si>
  <si>
    <t>Nov.30</t>
  </si>
  <si>
    <t>Dec1-5</t>
  </si>
  <si>
    <t>Nov 29-Dec 5</t>
  </si>
  <si>
    <t>Total</t>
  </si>
  <si>
    <t>alex 200</t>
  </si>
  <si>
    <t>rose-1000</t>
  </si>
  <si>
    <t>uni/4th-100</t>
  </si>
  <si>
    <t>798 uniform</t>
  </si>
  <si>
    <t>Dec 1-5</t>
  </si>
  <si>
    <t>Utang</t>
  </si>
  <si>
    <t>uni-100</t>
  </si>
  <si>
    <t>rose 500</t>
  </si>
  <si>
    <t>nov.30</t>
  </si>
  <si>
    <t>remsining</t>
  </si>
  <si>
    <t>Nov.29-</t>
  </si>
  <si>
    <t>dec1-5</t>
  </si>
  <si>
    <t>rose 300</t>
  </si>
  <si>
    <t>alex 300</t>
  </si>
  <si>
    <t>Dec.1-5</t>
  </si>
  <si>
    <t>Dec1 -5</t>
  </si>
  <si>
    <t>Nv 30</t>
  </si>
  <si>
    <t>rose-300</t>
  </si>
  <si>
    <t>Reamaining</t>
  </si>
  <si>
    <t>reamining</t>
  </si>
  <si>
    <t>rose 100</t>
  </si>
  <si>
    <t>total</t>
  </si>
  <si>
    <t>short/ over</t>
  </si>
  <si>
    <t>11/30- 157</t>
  </si>
  <si>
    <t>12/1- 117</t>
  </si>
  <si>
    <t>12/3-v-312</t>
  </si>
  <si>
    <t>Nov.29-Dec5</t>
  </si>
  <si>
    <t>deduct</t>
  </si>
  <si>
    <t>sss75</t>
  </si>
  <si>
    <t>short-100</t>
  </si>
  <si>
    <t>less ca</t>
  </si>
  <si>
    <t>sss</t>
  </si>
  <si>
    <t>uniform</t>
  </si>
  <si>
    <t>remaining</t>
  </si>
  <si>
    <t>balance</t>
  </si>
  <si>
    <t>paid</t>
  </si>
  <si>
    <t xml:space="preserve"> 7uih</t>
  </si>
  <si>
    <t>remaining 600 alex</t>
  </si>
  <si>
    <t>rose paid</t>
  </si>
  <si>
    <t xml:space="preserve">short </t>
  </si>
  <si>
    <t>b-s 20</t>
  </si>
  <si>
    <t>s-b-40 ca400</t>
  </si>
  <si>
    <t>s-b- 20</t>
  </si>
  <si>
    <t>ca-200</t>
  </si>
  <si>
    <t>ca 400</t>
  </si>
  <si>
    <t>ca- 150</t>
  </si>
  <si>
    <t>ca- 200</t>
  </si>
  <si>
    <t>ca- 250</t>
  </si>
  <si>
    <t>ca- 100</t>
  </si>
  <si>
    <t>utang- 500</t>
  </si>
  <si>
    <t>alex- 200</t>
  </si>
  <si>
    <t>Uni-100</t>
  </si>
  <si>
    <t>ca- 300</t>
  </si>
  <si>
    <t>ca-s</t>
  </si>
  <si>
    <t>Dec. 6</t>
  </si>
  <si>
    <t>Dec. 7</t>
  </si>
  <si>
    <t>Dec. 8</t>
  </si>
  <si>
    <t>Dec. 9</t>
  </si>
  <si>
    <t>Dec. 10</t>
  </si>
  <si>
    <t>Dec. 11</t>
  </si>
  <si>
    <t>Dec. 12</t>
  </si>
  <si>
    <t>Dec. 13</t>
  </si>
  <si>
    <t>Dec. 14</t>
  </si>
  <si>
    <t>Dec. 15</t>
  </si>
  <si>
    <t>Dec. 16</t>
  </si>
  <si>
    <t>Dec. 17</t>
  </si>
  <si>
    <t>Dec. 19</t>
  </si>
  <si>
    <t>Dec.13</t>
  </si>
  <si>
    <t>Dec.11</t>
  </si>
  <si>
    <t>5prcnt-487</t>
  </si>
  <si>
    <t>Dec.12</t>
  </si>
  <si>
    <t>ramaining</t>
  </si>
  <si>
    <t xml:space="preserve"> </t>
  </si>
  <si>
    <t>remainig</t>
  </si>
  <si>
    <t>short12</t>
  </si>
  <si>
    <t>shrt2</t>
  </si>
  <si>
    <t>shrt11</t>
  </si>
  <si>
    <t>shrt54</t>
  </si>
  <si>
    <t>shrt 79</t>
  </si>
  <si>
    <t>sss 75</t>
  </si>
  <si>
    <t>rmaining</t>
  </si>
  <si>
    <t>5prcnt-597</t>
  </si>
  <si>
    <t>not include</t>
  </si>
  <si>
    <t>sb-40</t>
  </si>
  <si>
    <t>sb-40 ca 300</t>
  </si>
  <si>
    <t>sb- 60</t>
  </si>
  <si>
    <t>ca-s- 300</t>
  </si>
  <si>
    <t>uni- Alex</t>
  </si>
  <si>
    <t>398/ paid na</t>
  </si>
  <si>
    <t xml:space="preserve">utang rose </t>
  </si>
  <si>
    <t>ca200</t>
  </si>
  <si>
    <t>ca 200</t>
  </si>
  <si>
    <t>ca 500</t>
  </si>
  <si>
    <t>December 20-26,2025</t>
  </si>
  <si>
    <t>absent</t>
  </si>
  <si>
    <t>Ca - 200</t>
  </si>
  <si>
    <t xml:space="preserve"> sb-100</t>
  </si>
  <si>
    <t>utang-500</t>
  </si>
  <si>
    <t>ca-800</t>
  </si>
  <si>
    <t>500 paid na</t>
  </si>
  <si>
    <t>Deduct</t>
  </si>
  <si>
    <t>weekly Payroll</t>
  </si>
  <si>
    <t>Albert Yongco</t>
  </si>
  <si>
    <t>Total income</t>
  </si>
  <si>
    <t>Jepherson Panares</t>
  </si>
  <si>
    <t>sss-75</t>
  </si>
  <si>
    <t>utang-1,000</t>
  </si>
  <si>
    <t>Shalimar Yasa</t>
  </si>
  <si>
    <t>Marivic Tapel</t>
  </si>
  <si>
    <t>Uniform/utang-398</t>
  </si>
  <si>
    <t>Received by:</t>
  </si>
  <si>
    <t>utang 500</t>
  </si>
  <si>
    <t>Angelie Nava</t>
  </si>
  <si>
    <t>utang400</t>
  </si>
  <si>
    <t>paid na</t>
  </si>
  <si>
    <t>ca 600</t>
  </si>
  <si>
    <t>Zyka Bustamante</t>
  </si>
  <si>
    <t>Jessivie De Asis</t>
  </si>
  <si>
    <t>net pay</t>
  </si>
  <si>
    <t xml:space="preserve">net pay </t>
  </si>
  <si>
    <t>uniform 100</t>
  </si>
  <si>
    <t>Agnes Catinoy</t>
  </si>
  <si>
    <t>weekly Payrol</t>
  </si>
  <si>
    <t>net income</t>
  </si>
  <si>
    <t>Julie Jane Villareal</t>
  </si>
  <si>
    <t>Michelle Jover</t>
  </si>
  <si>
    <t>short 105</t>
  </si>
  <si>
    <t>Ca-500</t>
  </si>
  <si>
    <t>Angelica Ampalo</t>
  </si>
  <si>
    <t>less Ca-600</t>
  </si>
  <si>
    <t xml:space="preserve">remaining </t>
  </si>
  <si>
    <t>Cyrill John Tejada</t>
  </si>
  <si>
    <t>less ca 600</t>
  </si>
  <si>
    <t>Rona Manigos</t>
  </si>
  <si>
    <t>less ca 200</t>
  </si>
  <si>
    <t>Ma Carmina Dullano</t>
  </si>
  <si>
    <t>Dec 20-26,2025</t>
  </si>
  <si>
    <t>5%- 204</t>
  </si>
  <si>
    <t>utang raymund 5,800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</si>
</sst>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1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3" fontId="0" fillId="4" borderId="0" xfId="0" applyNumberFormat="1" applyFill="1"/>
    <xf numFmtId="0" fontId="0" fillId="4" borderId="0" xfId="0" applyFill="1"/>
    <xf numFmtId="14" fontId="0" fillId="4" borderId="1" xfId="0" applyNumberFormat="1" applyFill="1" applyBorder="1"/>
    <xf numFmtId="0" fontId="0" fillId="4" borderId="1" xfId="0" applyFill="1" applyBorder="1"/>
    <xf numFmtId="0" fontId="0" fillId="5" borderId="0" xfId="0" applyFill="1"/>
    <xf numFmtId="0" fontId="0" fillId="5" borderId="1" xfId="0" applyFill="1" applyBorder="1"/>
    <xf numFmtId="0" fontId="0" fillId="6" borderId="1" xfId="0" applyFill="1" applyBorder="1"/>
    <xf numFmtId="16" fontId="0" fillId="5" borderId="0" xfId="0" applyNumberFormat="1" applyFill="1"/>
    <xf numFmtId="3" fontId="0" fillId="5" borderId="0" xfId="0" applyNumberFormat="1" applyFill="1"/>
    <xf numFmtId="16" fontId="0" fillId="0" borderId="0" xfId="0" applyNumberFormat="1"/>
    <xf numFmtId="0" fontId="1" fillId="0" borderId="0" xfId="0" applyFont="1"/>
    <xf numFmtId="0" fontId="1" fillId="7" borderId="0" xfId="0" applyFont="1" applyFill="1"/>
    <xf numFmtId="16" fontId="1" fillId="0" borderId="0" xfId="0" applyNumberFormat="1" applyFont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8" borderId="2" xfId="0" applyFont="1" applyFill="1" applyBorder="1" applyAlignment="1">
      <alignment wrapText="1"/>
    </xf>
    <xf numFmtId="0" fontId="1" fillId="9" borderId="2" xfId="0" applyFont="1" applyFill="1" applyBorder="1" applyAlignment="1">
      <alignment wrapText="1"/>
    </xf>
    <xf numFmtId="14" fontId="1" fillId="0" borderId="3" xfId="0" applyNumberFormat="1" applyFont="1" applyBorder="1"/>
    <xf numFmtId="0" fontId="1" fillId="0" borderId="4" xfId="0" applyFont="1" applyBorder="1"/>
    <xf numFmtId="0" fontId="1" fillId="0" borderId="3" xfId="0" applyFont="1" applyBorder="1"/>
    <xf numFmtId="14" fontId="1" fillId="4" borderId="3" xfId="0" applyNumberFormat="1" applyFont="1" applyFill="1" applyBorder="1"/>
    <xf numFmtId="0" fontId="1" fillId="4" borderId="4" xfId="0" applyFont="1" applyFill="1" applyBorder="1"/>
    <xf numFmtId="3" fontId="0" fillId="0" borderId="0" xfId="0" applyNumberFormat="1"/>
    <xf numFmtId="14" fontId="0" fillId="0" borderId="0" xfId="0" applyNumberFormat="1"/>
    <xf numFmtId="0" fontId="1" fillId="4" borderId="0" xfId="0" applyFont="1" applyFill="1"/>
    <xf numFmtId="0" fontId="1" fillId="5" borderId="0" xfId="0" applyFont="1" applyFill="1"/>
    <xf numFmtId="0" fontId="1" fillId="5" borderId="4" xfId="0" applyFont="1" applyFill="1" applyBorder="1"/>
    <xf numFmtId="164" fontId="0" fillId="0" borderId="0" xfId="1" applyNumberFormat="1" applyFont="1"/>
    <xf numFmtId="164" fontId="0" fillId="4" borderId="0" xfId="1" applyNumberFormat="1" applyFont="1" applyFill="1"/>
    <xf numFmtId="164" fontId="0" fillId="5" borderId="0" xfId="1" applyNumberFormat="1" applyFont="1" applyFill="1"/>
    <xf numFmtId="0" fontId="0" fillId="0" borderId="5" xfId="0" applyBorder="1"/>
    <xf numFmtId="3" fontId="1" fillId="4" borderId="0" xfId="0" applyNumberFormat="1" applyFont="1" applyFill="1"/>
    <xf numFmtId="0" fontId="0" fillId="3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640AF-7DEA-0D4F-BB35-F233A87D4BCE}">
  <dimension ref="A1:O35"/>
  <sheetViews>
    <sheetView topLeftCell="B18" zoomScale="125" zoomScaleNormal="125" workbookViewId="0">
      <selection activeCell="K31" sqref="K31"/>
    </sheetView>
  </sheetViews>
  <sheetFormatPr baseColWidth="10" defaultRowHeight="16" x14ac:dyDescent="0.2"/>
  <cols>
    <col min="9" max="9" width="13.83203125" customWidth="1"/>
    <col min="10" max="10" width="12.1640625" customWidth="1"/>
    <col min="12" max="12" width="8.83203125" customWidth="1"/>
    <col min="13" max="13" width="10.83203125" customWidth="1"/>
  </cols>
  <sheetData>
    <row r="1" spans="1:15" x14ac:dyDescent="0.2">
      <c r="A1" t="s">
        <v>7</v>
      </c>
    </row>
    <row r="2" spans="1:15" x14ac:dyDescent="0.2">
      <c r="A2" t="s">
        <v>17</v>
      </c>
      <c r="B2">
        <v>2025</v>
      </c>
      <c r="J2" s="15"/>
      <c r="K2" s="12"/>
    </row>
    <row r="3" spans="1:15" x14ac:dyDescent="0.2">
      <c r="A3" s="5" t="s">
        <v>0</v>
      </c>
      <c r="B3" s="5" t="s">
        <v>9</v>
      </c>
      <c r="C3" s="6" t="s">
        <v>10</v>
      </c>
      <c r="D3" s="5" t="s">
        <v>11</v>
      </c>
      <c r="E3" s="6" t="s">
        <v>12</v>
      </c>
      <c r="F3" s="5" t="s">
        <v>4</v>
      </c>
      <c r="G3" s="7" t="s">
        <v>6</v>
      </c>
      <c r="H3" s="12" t="s">
        <v>14</v>
      </c>
      <c r="I3" t="s">
        <v>22</v>
      </c>
      <c r="J3" t="s">
        <v>23</v>
      </c>
      <c r="K3" s="12" t="s">
        <v>21</v>
      </c>
      <c r="L3" t="s">
        <v>37</v>
      </c>
      <c r="M3" t="s">
        <v>47</v>
      </c>
      <c r="N3" t="s">
        <v>16</v>
      </c>
      <c r="O3" t="s">
        <v>18</v>
      </c>
    </row>
    <row r="4" spans="1:15" x14ac:dyDescent="0.2">
      <c r="A4" s="4">
        <v>45992</v>
      </c>
      <c r="B4" s="5">
        <v>1000</v>
      </c>
      <c r="C4" s="6">
        <f>(B4*0.9*0.3)</f>
        <v>270</v>
      </c>
      <c r="D4" s="5">
        <v>540</v>
      </c>
      <c r="E4" s="6">
        <f>(D4*0.9*0.4)</f>
        <v>194.4</v>
      </c>
      <c r="F4" s="5">
        <v>200</v>
      </c>
      <c r="G4" s="7">
        <f>(C4+E4+F4)</f>
        <v>664.4</v>
      </c>
      <c r="H4" s="12"/>
      <c r="I4" t="s">
        <v>43</v>
      </c>
      <c r="J4" s="12">
        <v>1589</v>
      </c>
      <c r="K4" s="12"/>
      <c r="L4" s="12">
        <v>300</v>
      </c>
    </row>
    <row r="5" spans="1:15" x14ac:dyDescent="0.2">
      <c r="A5" s="4">
        <v>45993</v>
      </c>
      <c r="B5" s="5"/>
      <c r="C5" s="6">
        <f t="shared" ref="C5:C33" si="0">(B5*0.9*0.3)</f>
        <v>0</v>
      </c>
      <c r="D5" s="5">
        <v>150</v>
      </c>
      <c r="E5" s="6">
        <f t="shared" ref="E5:E33" si="1">(D5*0.9*0.4)</f>
        <v>54</v>
      </c>
      <c r="F5" s="5">
        <v>100</v>
      </c>
      <c r="G5" s="7">
        <f t="shared" ref="G5:G33" si="2">(C5+E5+F5)</f>
        <v>154</v>
      </c>
      <c r="H5" s="12"/>
      <c r="I5" t="s">
        <v>44</v>
      </c>
      <c r="J5">
        <v>1580</v>
      </c>
      <c r="L5" s="12">
        <v>500</v>
      </c>
      <c r="N5" t="s">
        <v>15</v>
      </c>
    </row>
    <row r="6" spans="1:15" x14ac:dyDescent="0.2">
      <c r="A6" s="4">
        <v>45994</v>
      </c>
      <c r="B6" s="5"/>
      <c r="C6" s="6">
        <f t="shared" si="0"/>
        <v>0</v>
      </c>
      <c r="D6" s="5"/>
      <c r="E6" s="6">
        <f t="shared" si="1"/>
        <v>0</v>
      </c>
      <c r="F6" s="5"/>
      <c r="G6" s="7">
        <f t="shared" si="2"/>
        <v>0</v>
      </c>
      <c r="H6" s="12"/>
      <c r="I6" t="s">
        <v>45</v>
      </c>
      <c r="J6">
        <v>2863</v>
      </c>
      <c r="L6" s="12">
        <v>200</v>
      </c>
      <c r="N6" t="s">
        <v>48</v>
      </c>
    </row>
    <row r="7" spans="1:15" x14ac:dyDescent="0.2">
      <c r="A7" s="4">
        <v>45995</v>
      </c>
      <c r="B7" s="5">
        <v>4700</v>
      </c>
      <c r="C7" s="6">
        <f t="shared" si="0"/>
        <v>1269</v>
      </c>
      <c r="D7" s="5">
        <v>300</v>
      </c>
      <c r="E7" s="6">
        <f t="shared" si="1"/>
        <v>108</v>
      </c>
      <c r="F7" s="5">
        <v>200</v>
      </c>
      <c r="G7" s="7">
        <f t="shared" si="2"/>
        <v>1577</v>
      </c>
      <c r="H7" s="12"/>
      <c r="N7" t="s">
        <v>49</v>
      </c>
    </row>
    <row r="8" spans="1:15" x14ac:dyDescent="0.2">
      <c r="A8" s="10">
        <v>45996</v>
      </c>
      <c r="B8" s="11">
        <v>300</v>
      </c>
      <c r="C8" s="11">
        <f t="shared" si="0"/>
        <v>81</v>
      </c>
      <c r="D8" s="11">
        <v>520</v>
      </c>
      <c r="E8" s="11">
        <f t="shared" si="1"/>
        <v>187.20000000000002</v>
      </c>
      <c r="F8" s="11">
        <v>200</v>
      </c>
      <c r="G8" s="11">
        <f t="shared" si="2"/>
        <v>468.20000000000005</v>
      </c>
      <c r="H8" s="12"/>
      <c r="I8" t="s">
        <v>46</v>
      </c>
      <c r="J8" s="9">
        <f>SUM(J4:J7)</f>
        <v>6032</v>
      </c>
      <c r="K8">
        <v>75</v>
      </c>
      <c r="L8">
        <f>SUM(L4:L7)</f>
        <v>1000</v>
      </c>
      <c r="M8">
        <v>4857</v>
      </c>
      <c r="N8" s="30">
        <v>1300</v>
      </c>
      <c r="O8" s="8">
        <v>3657</v>
      </c>
    </row>
    <row r="9" spans="1:15" x14ac:dyDescent="0.2">
      <c r="A9" s="4">
        <v>45997</v>
      </c>
      <c r="B9" s="5">
        <v>3700</v>
      </c>
      <c r="C9" s="6">
        <f t="shared" si="0"/>
        <v>999</v>
      </c>
      <c r="D9" s="5">
        <v>560</v>
      </c>
      <c r="E9" s="6">
        <f t="shared" si="1"/>
        <v>201.60000000000002</v>
      </c>
      <c r="F9" s="5">
        <v>200</v>
      </c>
      <c r="G9" s="7">
        <f t="shared" si="2"/>
        <v>1400.6</v>
      </c>
      <c r="H9" s="12"/>
      <c r="I9" s="17">
        <v>45997</v>
      </c>
      <c r="J9">
        <v>1400</v>
      </c>
    </row>
    <row r="10" spans="1:15" x14ac:dyDescent="0.2">
      <c r="A10" s="4">
        <v>45998</v>
      </c>
      <c r="B10" s="13">
        <v>1300</v>
      </c>
      <c r="C10" s="6">
        <f t="shared" si="0"/>
        <v>351</v>
      </c>
      <c r="D10" s="13">
        <v>880</v>
      </c>
      <c r="E10" s="6">
        <f t="shared" si="1"/>
        <v>316.8</v>
      </c>
      <c r="F10" s="13">
        <v>200</v>
      </c>
      <c r="G10" s="7">
        <f t="shared" si="2"/>
        <v>867.8</v>
      </c>
      <c r="H10" s="12"/>
      <c r="I10" s="17">
        <v>45998</v>
      </c>
      <c r="J10">
        <v>867</v>
      </c>
    </row>
    <row r="11" spans="1:15" x14ac:dyDescent="0.2">
      <c r="A11" s="4">
        <v>45999</v>
      </c>
      <c r="B11" s="5">
        <v>7250</v>
      </c>
      <c r="C11" s="6">
        <f t="shared" si="0"/>
        <v>1957.5</v>
      </c>
      <c r="D11" s="5">
        <v>300</v>
      </c>
      <c r="E11" s="6">
        <f t="shared" si="1"/>
        <v>108</v>
      </c>
      <c r="F11" s="5">
        <v>300</v>
      </c>
      <c r="G11" s="7">
        <f t="shared" si="2"/>
        <v>2365.5</v>
      </c>
      <c r="H11" s="12" t="s">
        <v>84</v>
      </c>
      <c r="I11" s="17">
        <v>45999</v>
      </c>
      <c r="J11">
        <v>2365</v>
      </c>
    </row>
    <row r="12" spans="1:15" x14ac:dyDescent="0.2">
      <c r="A12" s="4">
        <v>46000</v>
      </c>
      <c r="B12" s="5"/>
      <c r="C12" s="6">
        <f t="shared" si="0"/>
        <v>0</v>
      </c>
      <c r="D12" s="5"/>
      <c r="E12" s="6">
        <f t="shared" si="1"/>
        <v>0</v>
      </c>
      <c r="F12" s="5"/>
      <c r="G12" s="7">
        <f t="shared" si="2"/>
        <v>0</v>
      </c>
      <c r="H12" s="12">
        <v>950</v>
      </c>
      <c r="I12" s="17">
        <v>46001</v>
      </c>
      <c r="J12">
        <v>1798</v>
      </c>
    </row>
    <row r="13" spans="1:15" x14ac:dyDescent="0.2">
      <c r="A13" s="4">
        <v>46001</v>
      </c>
      <c r="B13" s="5">
        <v>3800</v>
      </c>
      <c r="C13" s="6">
        <f t="shared" si="0"/>
        <v>1026</v>
      </c>
      <c r="D13" s="5">
        <v>1590</v>
      </c>
      <c r="E13" s="6">
        <f t="shared" si="1"/>
        <v>572.4</v>
      </c>
      <c r="F13" s="5">
        <v>200</v>
      </c>
      <c r="G13" s="7">
        <f t="shared" si="2"/>
        <v>1798.4</v>
      </c>
      <c r="H13" s="12"/>
      <c r="I13" s="17">
        <v>46002</v>
      </c>
      <c r="J13">
        <v>835</v>
      </c>
      <c r="O13" t="s">
        <v>81</v>
      </c>
    </row>
    <row r="14" spans="1:15" x14ac:dyDescent="0.2">
      <c r="A14" s="4">
        <v>46002</v>
      </c>
      <c r="B14" s="5">
        <v>1500</v>
      </c>
      <c r="C14" s="6">
        <f t="shared" si="0"/>
        <v>405</v>
      </c>
      <c r="D14" s="5">
        <v>640</v>
      </c>
      <c r="E14" s="6">
        <f t="shared" si="1"/>
        <v>230.4</v>
      </c>
      <c r="F14" s="5">
        <v>200</v>
      </c>
      <c r="G14" s="7">
        <f t="shared" si="2"/>
        <v>835.4</v>
      </c>
      <c r="H14" s="12">
        <v>300</v>
      </c>
      <c r="I14" s="17">
        <v>46003</v>
      </c>
      <c r="J14">
        <v>1116</v>
      </c>
      <c r="K14" t="s">
        <v>78</v>
      </c>
      <c r="L14" t="s">
        <v>79</v>
      </c>
      <c r="M14" t="s">
        <v>80</v>
      </c>
      <c r="N14" t="s">
        <v>8</v>
      </c>
    </row>
    <row r="15" spans="1:15" x14ac:dyDescent="0.2">
      <c r="A15" s="10">
        <v>46003</v>
      </c>
      <c r="B15" s="11">
        <v>2100</v>
      </c>
      <c r="C15" s="11">
        <f t="shared" si="0"/>
        <v>567</v>
      </c>
      <c r="D15" s="11">
        <v>970</v>
      </c>
      <c r="E15" s="11">
        <f t="shared" si="1"/>
        <v>349.20000000000005</v>
      </c>
      <c r="F15" s="11">
        <v>200</v>
      </c>
      <c r="G15" s="11">
        <f t="shared" si="2"/>
        <v>1116.2</v>
      </c>
      <c r="H15" s="12"/>
      <c r="J15" s="9">
        <f>SUM(J9:J14)</f>
        <v>8381</v>
      </c>
      <c r="K15">
        <v>1350</v>
      </c>
      <c r="L15">
        <v>75</v>
      </c>
      <c r="M15">
        <v>100</v>
      </c>
      <c r="N15">
        <v>500</v>
      </c>
      <c r="O15" s="9">
        <v>6356</v>
      </c>
    </row>
    <row r="16" spans="1:15" x14ac:dyDescent="0.2">
      <c r="A16" s="4">
        <v>46004</v>
      </c>
      <c r="B16" s="5">
        <v>7000</v>
      </c>
      <c r="C16" s="6">
        <f t="shared" si="0"/>
        <v>1890</v>
      </c>
      <c r="D16" s="5">
        <v>230</v>
      </c>
      <c r="E16" s="6">
        <f t="shared" si="1"/>
        <v>82.800000000000011</v>
      </c>
      <c r="F16" s="5">
        <v>300</v>
      </c>
      <c r="G16" s="7">
        <f t="shared" si="2"/>
        <v>2272.8000000000002</v>
      </c>
      <c r="H16" s="12"/>
      <c r="I16" s="17">
        <v>46004</v>
      </c>
      <c r="J16">
        <v>2272</v>
      </c>
    </row>
    <row r="17" spans="1:15" x14ac:dyDescent="0.2">
      <c r="A17" s="4">
        <v>46005</v>
      </c>
      <c r="B17" s="13">
        <v>5560</v>
      </c>
      <c r="C17" s="6">
        <f t="shared" si="0"/>
        <v>1501.2</v>
      </c>
      <c r="D17" s="13">
        <v>280</v>
      </c>
      <c r="E17" s="6">
        <f t="shared" si="1"/>
        <v>100.80000000000001</v>
      </c>
      <c r="F17" s="13">
        <v>300</v>
      </c>
      <c r="G17" s="7">
        <f t="shared" si="2"/>
        <v>1902</v>
      </c>
      <c r="H17" s="12" t="s">
        <v>88</v>
      </c>
      <c r="I17" s="17">
        <v>46005</v>
      </c>
      <c r="J17">
        <v>1902</v>
      </c>
      <c r="N17" t="s">
        <v>97</v>
      </c>
    </row>
    <row r="18" spans="1:15" x14ac:dyDescent="0.2">
      <c r="A18" s="4">
        <v>46006</v>
      </c>
      <c r="B18" s="5">
        <v>6000</v>
      </c>
      <c r="C18" s="6">
        <f t="shared" si="0"/>
        <v>1620</v>
      </c>
      <c r="D18" s="5">
        <v>1140</v>
      </c>
      <c r="E18" s="6">
        <f t="shared" si="1"/>
        <v>410.40000000000003</v>
      </c>
      <c r="F18" s="5">
        <v>300</v>
      </c>
      <c r="G18" s="7">
        <f t="shared" si="2"/>
        <v>2330.4</v>
      </c>
      <c r="H18" s="12" t="s">
        <v>93</v>
      </c>
      <c r="I18" s="17">
        <v>46006</v>
      </c>
      <c r="J18">
        <v>2330</v>
      </c>
      <c r="N18" t="s">
        <v>98</v>
      </c>
    </row>
    <row r="19" spans="1:15" x14ac:dyDescent="0.2">
      <c r="A19" s="4">
        <v>46007</v>
      </c>
      <c r="B19" s="5">
        <v>2850</v>
      </c>
      <c r="C19" s="6">
        <f t="shared" si="0"/>
        <v>769.5</v>
      </c>
      <c r="D19" s="5">
        <v>860</v>
      </c>
      <c r="E19" s="6">
        <f t="shared" si="1"/>
        <v>309.60000000000002</v>
      </c>
      <c r="F19" s="5">
        <v>200</v>
      </c>
      <c r="G19" s="7">
        <f t="shared" si="2"/>
        <v>1279.0999999999999</v>
      </c>
      <c r="H19" s="12" t="s">
        <v>94</v>
      </c>
      <c r="I19" s="17">
        <v>46007</v>
      </c>
      <c r="J19">
        <v>1279</v>
      </c>
      <c r="N19" t="s">
        <v>99</v>
      </c>
    </row>
    <row r="20" spans="1:15" x14ac:dyDescent="0.2">
      <c r="A20" s="4">
        <v>46008</v>
      </c>
      <c r="B20" s="5"/>
      <c r="C20" s="6">
        <f t="shared" si="0"/>
        <v>0</v>
      </c>
      <c r="D20" s="5"/>
      <c r="E20" s="6">
        <f t="shared" si="1"/>
        <v>0</v>
      </c>
      <c r="F20" s="5"/>
      <c r="G20" s="7">
        <f t="shared" si="2"/>
        <v>0</v>
      </c>
      <c r="I20" s="17">
        <v>46009</v>
      </c>
      <c r="J20">
        <v>154</v>
      </c>
    </row>
    <row r="21" spans="1:15" x14ac:dyDescent="0.2">
      <c r="A21" s="4">
        <v>46009</v>
      </c>
      <c r="B21" s="5"/>
      <c r="C21" s="6">
        <f t="shared" si="0"/>
        <v>0</v>
      </c>
      <c r="D21" s="5">
        <v>150</v>
      </c>
      <c r="E21" s="6">
        <f t="shared" si="1"/>
        <v>54</v>
      </c>
      <c r="F21" s="5">
        <v>100</v>
      </c>
      <c r="G21" s="7">
        <f t="shared" si="2"/>
        <v>154</v>
      </c>
      <c r="H21" s="12" t="s">
        <v>93</v>
      </c>
      <c r="I21" s="17">
        <v>46010</v>
      </c>
      <c r="J21">
        <v>927</v>
      </c>
      <c r="K21" t="s">
        <v>79</v>
      </c>
      <c r="L21" t="s">
        <v>101</v>
      </c>
      <c r="O21" t="s">
        <v>81</v>
      </c>
    </row>
    <row r="22" spans="1:15" x14ac:dyDescent="0.2">
      <c r="A22" s="10">
        <v>46010</v>
      </c>
      <c r="B22" s="11">
        <v>800</v>
      </c>
      <c r="C22" s="11">
        <f t="shared" si="0"/>
        <v>216</v>
      </c>
      <c r="D22" s="11">
        <v>1420</v>
      </c>
      <c r="E22" s="11">
        <f t="shared" si="1"/>
        <v>511.20000000000005</v>
      </c>
      <c r="F22" s="11">
        <v>200</v>
      </c>
      <c r="G22" s="11">
        <f t="shared" si="2"/>
        <v>927.2</v>
      </c>
      <c r="H22" s="9" t="s">
        <v>100</v>
      </c>
      <c r="J22" s="9">
        <f>SUM(J16:J21)</f>
        <v>8864</v>
      </c>
      <c r="K22">
        <v>75</v>
      </c>
      <c r="L22">
        <v>820</v>
      </c>
      <c r="N22">
        <v>800</v>
      </c>
      <c r="O22" s="9">
        <v>7169</v>
      </c>
    </row>
    <row r="23" spans="1:15" x14ac:dyDescent="0.2">
      <c r="A23" s="4">
        <v>46011</v>
      </c>
      <c r="B23" s="5">
        <v>10200</v>
      </c>
      <c r="C23" s="6">
        <f t="shared" si="0"/>
        <v>2754</v>
      </c>
      <c r="D23" s="5"/>
      <c r="E23" s="6">
        <f t="shared" si="1"/>
        <v>0</v>
      </c>
      <c r="F23" s="5">
        <v>300</v>
      </c>
      <c r="G23" s="7">
        <f t="shared" si="2"/>
        <v>3054</v>
      </c>
      <c r="H23" s="12" t="s">
        <v>133</v>
      </c>
      <c r="I23" s="15">
        <v>46011</v>
      </c>
      <c r="J23">
        <v>3054</v>
      </c>
    </row>
    <row r="24" spans="1:15" x14ac:dyDescent="0.2">
      <c r="A24" s="4">
        <v>46012</v>
      </c>
      <c r="B24" s="13">
        <v>3700</v>
      </c>
      <c r="C24" s="6">
        <f t="shared" si="0"/>
        <v>999</v>
      </c>
      <c r="D24" s="13">
        <v>990</v>
      </c>
      <c r="E24" s="6">
        <f t="shared" si="1"/>
        <v>356.40000000000003</v>
      </c>
      <c r="F24" s="13">
        <v>200</v>
      </c>
      <c r="G24" s="7">
        <f t="shared" si="2"/>
        <v>1555.4</v>
      </c>
      <c r="H24" s="12" t="s">
        <v>131</v>
      </c>
      <c r="I24" s="15">
        <v>46012</v>
      </c>
      <c r="J24">
        <v>1555</v>
      </c>
      <c r="L24" s="16"/>
    </row>
    <row r="25" spans="1:15" x14ac:dyDescent="0.2">
      <c r="A25" s="4">
        <v>46013</v>
      </c>
      <c r="B25" s="5">
        <v>4300</v>
      </c>
      <c r="C25" s="6">
        <f t="shared" si="0"/>
        <v>1161</v>
      </c>
      <c r="D25" s="5">
        <v>1910</v>
      </c>
      <c r="E25" s="6">
        <f t="shared" si="1"/>
        <v>687.6</v>
      </c>
      <c r="F25" s="5">
        <v>300</v>
      </c>
      <c r="G25" s="7">
        <f t="shared" si="2"/>
        <v>2148.6</v>
      </c>
      <c r="H25" s="12"/>
      <c r="I25" s="15">
        <v>46013</v>
      </c>
      <c r="J25">
        <v>2148</v>
      </c>
    </row>
    <row r="26" spans="1:15" x14ac:dyDescent="0.2">
      <c r="A26" s="4">
        <v>46014</v>
      </c>
      <c r="B26" s="5">
        <v>10700</v>
      </c>
      <c r="C26" s="6">
        <f t="shared" si="0"/>
        <v>2889</v>
      </c>
      <c r="D26" s="5"/>
      <c r="E26" s="6">
        <f t="shared" si="1"/>
        <v>0</v>
      </c>
      <c r="F26" s="5">
        <v>300</v>
      </c>
      <c r="G26" s="7">
        <f t="shared" si="2"/>
        <v>3189</v>
      </c>
      <c r="H26" s="12"/>
      <c r="I26" s="15">
        <v>46014</v>
      </c>
      <c r="J26">
        <v>3189</v>
      </c>
    </row>
    <row r="27" spans="1:15" x14ac:dyDescent="0.2">
      <c r="A27" s="4">
        <v>46015</v>
      </c>
      <c r="B27" s="5">
        <v>1500</v>
      </c>
      <c r="C27" s="6">
        <f t="shared" si="0"/>
        <v>405</v>
      </c>
      <c r="D27" s="5">
        <v>820</v>
      </c>
      <c r="E27" s="6">
        <f t="shared" si="1"/>
        <v>295.2</v>
      </c>
      <c r="F27" s="5">
        <v>200</v>
      </c>
      <c r="G27" s="7">
        <f t="shared" si="2"/>
        <v>900.2</v>
      </c>
      <c r="H27" s="12"/>
      <c r="I27" s="15">
        <v>46015</v>
      </c>
      <c r="J27">
        <v>900</v>
      </c>
    </row>
    <row r="28" spans="1:15" x14ac:dyDescent="0.2">
      <c r="A28" s="4">
        <v>46016</v>
      </c>
      <c r="B28" s="5"/>
      <c r="C28" s="6">
        <f t="shared" si="0"/>
        <v>0</v>
      </c>
      <c r="D28" s="5"/>
      <c r="E28" s="6">
        <f t="shared" si="1"/>
        <v>0</v>
      </c>
      <c r="F28" s="5"/>
      <c r="G28" s="7">
        <f t="shared" si="2"/>
        <v>0</v>
      </c>
      <c r="H28" s="12"/>
      <c r="I28" s="17">
        <v>46017</v>
      </c>
      <c r="J28">
        <v>1339</v>
      </c>
      <c r="K28" t="s">
        <v>79</v>
      </c>
      <c r="M28" t="s">
        <v>135</v>
      </c>
      <c r="N28" t="s">
        <v>137</v>
      </c>
      <c r="O28" t="s">
        <v>81</v>
      </c>
    </row>
    <row r="29" spans="1:15" x14ac:dyDescent="0.2">
      <c r="A29" s="10">
        <v>46017</v>
      </c>
      <c r="B29" s="11">
        <v>2300</v>
      </c>
      <c r="C29" s="11">
        <f t="shared" si="0"/>
        <v>621</v>
      </c>
      <c r="D29" s="11">
        <v>1440</v>
      </c>
      <c r="E29" s="11">
        <f t="shared" si="1"/>
        <v>518.4</v>
      </c>
      <c r="F29" s="11">
        <v>200</v>
      </c>
      <c r="G29" s="11">
        <f t="shared" si="2"/>
        <v>1339.4</v>
      </c>
      <c r="H29" s="9" t="s">
        <v>138</v>
      </c>
      <c r="J29">
        <f>SUM(J23:J28)</f>
        <v>12185</v>
      </c>
      <c r="K29">
        <v>75</v>
      </c>
      <c r="L29" t="s">
        <v>134</v>
      </c>
      <c r="M29" t="s">
        <v>136</v>
      </c>
      <c r="N29">
        <v>500</v>
      </c>
      <c r="O29" s="9">
        <v>10912</v>
      </c>
    </row>
    <row r="30" spans="1:15" x14ac:dyDescent="0.2">
      <c r="A30" s="4">
        <v>46018</v>
      </c>
      <c r="B30" s="5"/>
      <c r="C30" s="6">
        <f t="shared" si="0"/>
        <v>0</v>
      </c>
      <c r="D30" s="5"/>
      <c r="E30" s="6">
        <f t="shared" si="1"/>
        <v>0</v>
      </c>
      <c r="F30" s="5"/>
      <c r="G30" s="7">
        <f t="shared" si="2"/>
        <v>0</v>
      </c>
      <c r="H30" s="12"/>
    </row>
    <row r="31" spans="1:15" x14ac:dyDescent="0.2">
      <c r="A31" s="4">
        <v>46019</v>
      </c>
      <c r="B31" s="13"/>
      <c r="C31" s="14">
        <f t="shared" si="0"/>
        <v>0</v>
      </c>
      <c r="D31" s="13"/>
      <c r="E31" s="6">
        <f t="shared" si="1"/>
        <v>0</v>
      </c>
      <c r="F31" s="13"/>
      <c r="G31" s="7">
        <f t="shared" si="2"/>
        <v>0</v>
      </c>
      <c r="H31" s="12"/>
      <c r="L31" s="12"/>
    </row>
    <row r="32" spans="1:15" x14ac:dyDescent="0.2">
      <c r="A32" s="4">
        <v>46020</v>
      </c>
      <c r="B32" s="5"/>
      <c r="C32" s="6">
        <f t="shared" si="0"/>
        <v>0</v>
      </c>
      <c r="D32" s="5"/>
      <c r="E32" s="6">
        <f t="shared" si="1"/>
        <v>0</v>
      </c>
      <c r="F32" s="5"/>
      <c r="G32" s="7">
        <f t="shared" si="2"/>
        <v>0</v>
      </c>
      <c r="H32" s="12"/>
    </row>
    <row r="33" spans="1:8" x14ac:dyDescent="0.2">
      <c r="A33" s="4">
        <v>46021</v>
      </c>
      <c r="B33" s="5"/>
      <c r="C33" s="6">
        <f t="shared" si="0"/>
        <v>0</v>
      </c>
      <c r="D33" s="5"/>
      <c r="E33" s="6">
        <f t="shared" si="1"/>
        <v>0</v>
      </c>
      <c r="F33" s="5"/>
      <c r="G33" s="7">
        <f t="shared" si="2"/>
        <v>0</v>
      </c>
      <c r="H33" s="12"/>
    </row>
    <row r="34" spans="1:8" x14ac:dyDescent="0.2">
      <c r="A34" s="4">
        <v>46022</v>
      </c>
      <c r="B34" s="5"/>
      <c r="C34" s="6"/>
      <c r="D34" s="5"/>
      <c r="E34" s="6"/>
      <c r="F34" s="5"/>
      <c r="G34" s="7"/>
      <c r="H34" s="12"/>
    </row>
    <row r="35" spans="1:8" x14ac:dyDescent="0.2">
      <c r="A35" s="5" t="s">
        <v>6</v>
      </c>
      <c r="B35" s="5">
        <f>SUM(B4:B34)</f>
        <v>80560</v>
      </c>
      <c r="C35" s="5">
        <f>SUM(C4:C34)</f>
        <v>21751.200000000001</v>
      </c>
      <c r="D35" s="5">
        <f>SUM(D4:D34)</f>
        <v>15690</v>
      </c>
      <c r="E35" s="5">
        <f>SUM(E4:E34)</f>
        <v>5648.4</v>
      </c>
      <c r="F35" s="5">
        <f>SUM(F5:F34)</f>
        <v>4700</v>
      </c>
      <c r="G35" s="5">
        <f>SUM(G4:G34)</f>
        <v>32299.600000000006</v>
      </c>
      <c r="H35" s="12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43C3-4FB5-654A-8079-9DD8B2EC88B2}">
  <dimension ref="A1:N35"/>
  <sheetViews>
    <sheetView topLeftCell="C20" zoomScale="150" zoomScaleNormal="126" workbookViewId="0">
      <selection activeCell="H37" sqref="H37"/>
    </sheetView>
  </sheetViews>
  <sheetFormatPr baseColWidth="10" defaultRowHeight="16" x14ac:dyDescent="0.2"/>
  <cols>
    <col min="8" max="9" width="12.33203125" customWidth="1"/>
  </cols>
  <sheetData>
    <row r="1" spans="1:14" x14ac:dyDescent="0.2">
      <c r="A1" t="s">
        <v>20</v>
      </c>
    </row>
    <row r="2" spans="1:14" x14ac:dyDescent="0.2">
      <c r="A2" t="s">
        <v>17</v>
      </c>
      <c r="B2">
        <v>2025</v>
      </c>
    </row>
    <row r="3" spans="1:14" x14ac:dyDescent="0.2">
      <c r="A3" s="5" t="s">
        <v>0</v>
      </c>
      <c r="B3" s="5" t="s">
        <v>9</v>
      </c>
      <c r="C3" s="6" t="s">
        <v>10</v>
      </c>
      <c r="D3" s="5" t="s">
        <v>11</v>
      </c>
      <c r="E3" s="6" t="s">
        <v>12</v>
      </c>
      <c r="F3" s="5" t="s">
        <v>4</v>
      </c>
      <c r="G3" s="7" t="s">
        <v>13</v>
      </c>
      <c r="H3" t="s">
        <v>14</v>
      </c>
      <c r="I3" t="s">
        <v>22</v>
      </c>
      <c r="J3" t="s">
        <v>23</v>
      </c>
      <c r="K3" s="12" t="s">
        <v>37</v>
      </c>
      <c r="L3" t="s">
        <v>53</v>
      </c>
    </row>
    <row r="4" spans="1:14" x14ac:dyDescent="0.2">
      <c r="A4" s="4">
        <v>45992</v>
      </c>
      <c r="B4" s="5"/>
      <c r="C4" s="6">
        <f>(B4*0.9*0.3)</f>
        <v>0</v>
      </c>
      <c r="D4" s="5"/>
      <c r="E4" s="6">
        <f>(D4*0.9*0.4)</f>
        <v>0</v>
      </c>
      <c r="F4" s="5"/>
      <c r="G4" s="7">
        <f>(C4+E4+F4)</f>
        <v>0</v>
      </c>
      <c r="H4" s="12">
        <v>300</v>
      </c>
      <c r="I4" t="s">
        <v>43</v>
      </c>
      <c r="J4" s="12">
        <v>2190</v>
      </c>
      <c r="L4" t="s">
        <v>54</v>
      </c>
    </row>
    <row r="5" spans="1:14" x14ac:dyDescent="0.2">
      <c r="A5" s="4">
        <v>45993</v>
      </c>
      <c r="B5" s="5">
        <v>2500</v>
      </c>
      <c r="C5" s="6">
        <f t="shared" ref="C5:C33" si="0">(B5*0.9*0.3)</f>
        <v>675</v>
      </c>
      <c r="D5" s="5">
        <v>580</v>
      </c>
      <c r="E5" s="6">
        <f t="shared" ref="E5:E33" si="1">(D5*0.9*0.4)</f>
        <v>208.8</v>
      </c>
      <c r="F5" s="5">
        <v>200</v>
      </c>
      <c r="G5" s="7">
        <f t="shared" ref="G5:G33" si="2">(C5+E5+F5)</f>
        <v>1083.8</v>
      </c>
      <c r="H5">
        <v>600</v>
      </c>
      <c r="I5" s="17">
        <v>45991</v>
      </c>
      <c r="J5">
        <v>1346</v>
      </c>
      <c r="L5" t="s">
        <v>55</v>
      </c>
    </row>
    <row r="6" spans="1:14" x14ac:dyDescent="0.2">
      <c r="A6" s="4">
        <v>45994</v>
      </c>
      <c r="B6" s="5">
        <v>600</v>
      </c>
      <c r="C6" s="6">
        <f t="shared" si="0"/>
        <v>162</v>
      </c>
      <c r="D6" s="5">
        <v>1250</v>
      </c>
      <c r="E6" s="6">
        <f t="shared" si="1"/>
        <v>450</v>
      </c>
      <c r="F6" s="5">
        <v>200</v>
      </c>
      <c r="G6" s="7">
        <f t="shared" si="2"/>
        <v>812</v>
      </c>
      <c r="H6">
        <v>200</v>
      </c>
      <c r="I6" t="s">
        <v>52</v>
      </c>
      <c r="J6">
        <v>4639</v>
      </c>
    </row>
    <row r="7" spans="1:14" x14ac:dyDescent="0.2">
      <c r="A7" s="4">
        <v>45995</v>
      </c>
      <c r="B7" s="5">
        <v>2000</v>
      </c>
      <c r="C7" s="6">
        <f t="shared" si="0"/>
        <v>540</v>
      </c>
      <c r="D7" s="5">
        <v>750</v>
      </c>
      <c r="E7" s="6"/>
      <c r="F7" s="5">
        <v>200</v>
      </c>
      <c r="G7" s="7">
        <f t="shared" si="2"/>
        <v>740</v>
      </c>
    </row>
    <row r="8" spans="1:14" x14ac:dyDescent="0.2">
      <c r="A8" s="10">
        <v>45996</v>
      </c>
      <c r="B8" s="11"/>
      <c r="C8" s="11">
        <f t="shared" si="0"/>
        <v>0</v>
      </c>
      <c r="D8" s="11"/>
      <c r="E8" s="11">
        <f t="shared" si="1"/>
        <v>0</v>
      </c>
      <c r="F8" s="11"/>
      <c r="G8" s="11">
        <f t="shared" si="2"/>
        <v>0</v>
      </c>
      <c r="H8">
        <v>100</v>
      </c>
      <c r="J8" s="9">
        <f ca="1">SUM(J4:J8)</f>
        <v>8175</v>
      </c>
      <c r="K8">
        <f>SUM(H4:H8)</f>
        <v>1200</v>
      </c>
      <c r="L8">
        <v>600</v>
      </c>
      <c r="M8">
        <v>6375</v>
      </c>
    </row>
    <row r="9" spans="1:14" x14ac:dyDescent="0.2">
      <c r="A9" s="4">
        <v>45997</v>
      </c>
      <c r="B9" s="5">
        <v>600</v>
      </c>
      <c r="C9" s="6">
        <f t="shared" si="0"/>
        <v>162</v>
      </c>
      <c r="D9" s="5">
        <v>1250</v>
      </c>
      <c r="E9" s="6">
        <f t="shared" si="1"/>
        <v>450</v>
      </c>
      <c r="F9" s="5">
        <v>200</v>
      </c>
      <c r="G9" s="7">
        <f t="shared" si="2"/>
        <v>812</v>
      </c>
      <c r="I9" s="17">
        <v>45997</v>
      </c>
      <c r="J9">
        <v>812</v>
      </c>
    </row>
    <row r="10" spans="1:14" x14ac:dyDescent="0.2">
      <c r="A10" s="4">
        <v>45998</v>
      </c>
      <c r="B10" s="13">
        <v>2000</v>
      </c>
      <c r="C10" s="6">
        <f t="shared" si="0"/>
        <v>540</v>
      </c>
      <c r="D10" s="13">
        <v>750</v>
      </c>
      <c r="E10" s="6">
        <f t="shared" si="1"/>
        <v>270</v>
      </c>
      <c r="F10" s="13">
        <v>200</v>
      </c>
      <c r="G10" s="7">
        <f t="shared" si="2"/>
        <v>1010</v>
      </c>
      <c r="H10">
        <v>400</v>
      </c>
      <c r="I10" s="17">
        <v>45998</v>
      </c>
      <c r="J10">
        <v>1010</v>
      </c>
    </row>
    <row r="11" spans="1:14" x14ac:dyDescent="0.2">
      <c r="A11" s="4">
        <v>45999</v>
      </c>
      <c r="B11" s="5"/>
      <c r="C11" s="6">
        <f t="shared" si="0"/>
        <v>0</v>
      </c>
      <c r="D11" s="5"/>
      <c r="E11" s="6">
        <f t="shared" si="1"/>
        <v>0</v>
      </c>
      <c r="F11" s="5"/>
      <c r="G11" s="7">
        <f t="shared" si="2"/>
        <v>0</v>
      </c>
      <c r="I11" s="17">
        <v>46000</v>
      </c>
      <c r="J11">
        <v>2765</v>
      </c>
    </row>
    <row r="12" spans="1:14" x14ac:dyDescent="0.2">
      <c r="A12" s="4">
        <v>46000</v>
      </c>
      <c r="B12" s="5">
        <v>8700</v>
      </c>
      <c r="C12" s="6">
        <f t="shared" si="0"/>
        <v>2349</v>
      </c>
      <c r="D12" s="5">
        <v>600</v>
      </c>
      <c r="E12" s="6">
        <f t="shared" si="1"/>
        <v>216</v>
      </c>
      <c r="F12" s="5">
        <v>200</v>
      </c>
      <c r="G12" s="7">
        <f t="shared" si="2"/>
        <v>2765</v>
      </c>
      <c r="I12" s="17">
        <v>46001</v>
      </c>
      <c r="J12">
        <v>1103</v>
      </c>
    </row>
    <row r="13" spans="1:14" x14ac:dyDescent="0.2">
      <c r="A13" s="4">
        <v>46001</v>
      </c>
      <c r="B13" s="5">
        <v>3000</v>
      </c>
      <c r="C13" s="6">
        <f t="shared" si="0"/>
        <v>810</v>
      </c>
      <c r="D13" s="5">
        <v>260</v>
      </c>
      <c r="E13" s="6">
        <f t="shared" si="1"/>
        <v>93.600000000000009</v>
      </c>
      <c r="F13" s="5">
        <v>200</v>
      </c>
      <c r="G13" s="7">
        <f t="shared" si="2"/>
        <v>1103.5999999999999</v>
      </c>
      <c r="H13">
        <v>500</v>
      </c>
      <c r="I13" s="17">
        <v>46002</v>
      </c>
      <c r="J13">
        <v>648</v>
      </c>
      <c r="N13" t="s">
        <v>81</v>
      </c>
    </row>
    <row r="14" spans="1:14" x14ac:dyDescent="0.2">
      <c r="A14" s="4">
        <v>46002</v>
      </c>
      <c r="B14" s="5">
        <v>2000</v>
      </c>
      <c r="C14" s="6">
        <f t="shared" si="0"/>
        <v>540</v>
      </c>
      <c r="D14" s="5">
        <v>300</v>
      </c>
      <c r="E14" s="6">
        <f t="shared" si="1"/>
        <v>108</v>
      </c>
      <c r="F14" s="5"/>
      <c r="G14" s="7">
        <f t="shared" si="2"/>
        <v>648</v>
      </c>
      <c r="H14">
        <v>300</v>
      </c>
      <c r="I14" s="17">
        <v>46003</v>
      </c>
      <c r="J14">
        <v>1820</v>
      </c>
      <c r="K14" t="s">
        <v>14</v>
      </c>
      <c r="L14" t="s">
        <v>80</v>
      </c>
      <c r="M14" t="s">
        <v>8</v>
      </c>
    </row>
    <row r="15" spans="1:14" x14ac:dyDescent="0.2">
      <c r="A15" s="10">
        <v>46003</v>
      </c>
      <c r="B15" s="11">
        <v>6000</v>
      </c>
      <c r="C15" s="11">
        <f t="shared" si="0"/>
        <v>1620</v>
      </c>
      <c r="D15" s="11"/>
      <c r="E15" s="11">
        <f t="shared" si="1"/>
        <v>0</v>
      </c>
      <c r="F15" s="11">
        <v>200</v>
      </c>
      <c r="G15" s="11">
        <f t="shared" si="2"/>
        <v>1820</v>
      </c>
      <c r="J15" s="9">
        <f>SUM(J9:J14)</f>
        <v>8158</v>
      </c>
      <c r="K15">
        <v>1200</v>
      </c>
      <c r="L15">
        <v>100</v>
      </c>
      <c r="M15">
        <v>500</v>
      </c>
      <c r="N15" s="9">
        <v>6358</v>
      </c>
    </row>
    <row r="16" spans="1:14" x14ac:dyDescent="0.2">
      <c r="A16" s="4">
        <v>46004</v>
      </c>
      <c r="B16" s="5">
        <v>4100</v>
      </c>
      <c r="C16" s="6">
        <f t="shared" si="0"/>
        <v>1107</v>
      </c>
      <c r="D16" s="5">
        <v>410</v>
      </c>
      <c r="E16" s="6">
        <f t="shared" si="1"/>
        <v>147.6</v>
      </c>
      <c r="F16" s="5">
        <v>200</v>
      </c>
      <c r="G16" s="7">
        <f t="shared" si="2"/>
        <v>1454.6</v>
      </c>
      <c r="I16" s="17">
        <v>46004</v>
      </c>
      <c r="J16">
        <v>1454</v>
      </c>
    </row>
    <row r="17" spans="1:14" x14ac:dyDescent="0.2">
      <c r="A17" s="4">
        <v>46005</v>
      </c>
      <c r="B17" s="13">
        <v>2000</v>
      </c>
      <c r="C17" s="6">
        <f t="shared" si="0"/>
        <v>540</v>
      </c>
      <c r="D17" s="13">
        <v>430</v>
      </c>
      <c r="E17" s="6">
        <f t="shared" si="1"/>
        <v>154.80000000000001</v>
      </c>
      <c r="F17" s="13">
        <v>200</v>
      </c>
      <c r="G17" s="7">
        <f t="shared" si="2"/>
        <v>894.8</v>
      </c>
      <c r="H17" t="s">
        <v>90</v>
      </c>
      <c r="I17" s="17">
        <v>46005</v>
      </c>
      <c r="J17">
        <v>894</v>
      </c>
    </row>
    <row r="18" spans="1:14" x14ac:dyDescent="0.2">
      <c r="A18" s="4">
        <v>46006</v>
      </c>
      <c r="B18" s="5"/>
      <c r="C18" s="6">
        <f t="shared" si="0"/>
        <v>0</v>
      </c>
      <c r="D18" s="5"/>
      <c r="E18" s="6">
        <f t="shared" si="1"/>
        <v>0</v>
      </c>
      <c r="F18" s="5"/>
      <c r="G18" s="7">
        <f t="shared" si="2"/>
        <v>0</v>
      </c>
      <c r="I18" s="17">
        <v>46007</v>
      </c>
      <c r="J18">
        <v>2103</v>
      </c>
    </row>
    <row r="19" spans="1:14" x14ac:dyDescent="0.2">
      <c r="A19" s="4">
        <v>46007</v>
      </c>
      <c r="B19" s="5">
        <v>6650</v>
      </c>
      <c r="C19" s="6">
        <f t="shared" si="0"/>
        <v>1795.5</v>
      </c>
      <c r="D19" s="5">
        <v>300</v>
      </c>
      <c r="E19" s="6">
        <f t="shared" si="1"/>
        <v>108</v>
      </c>
      <c r="F19" s="5">
        <v>200</v>
      </c>
      <c r="G19" s="7">
        <f t="shared" si="2"/>
        <v>2103.5</v>
      </c>
      <c r="H19" t="s">
        <v>89</v>
      </c>
      <c r="I19" s="17">
        <v>46008</v>
      </c>
      <c r="J19">
        <v>1554</v>
      </c>
    </row>
    <row r="20" spans="1:14" x14ac:dyDescent="0.2">
      <c r="A20" s="4">
        <v>46008</v>
      </c>
      <c r="B20" s="5">
        <v>3750</v>
      </c>
      <c r="C20" s="6">
        <f t="shared" si="0"/>
        <v>1012.5</v>
      </c>
      <c r="D20" s="5">
        <v>950</v>
      </c>
      <c r="E20" s="6">
        <f t="shared" si="1"/>
        <v>342</v>
      </c>
      <c r="F20" s="5">
        <v>200</v>
      </c>
      <c r="G20" s="7">
        <f t="shared" si="2"/>
        <v>1554.5</v>
      </c>
      <c r="H20" t="s">
        <v>92</v>
      </c>
      <c r="I20" s="17">
        <v>46009</v>
      </c>
      <c r="J20">
        <v>1299</v>
      </c>
    </row>
    <row r="21" spans="1:14" x14ac:dyDescent="0.2">
      <c r="A21" s="4">
        <v>46009</v>
      </c>
      <c r="B21" s="5">
        <v>3500</v>
      </c>
      <c r="C21" s="6">
        <f t="shared" si="0"/>
        <v>945</v>
      </c>
      <c r="D21" s="5">
        <v>430</v>
      </c>
      <c r="E21" s="6">
        <f t="shared" si="1"/>
        <v>154.80000000000001</v>
      </c>
      <c r="F21" s="5">
        <v>200</v>
      </c>
      <c r="G21" s="7">
        <f t="shared" si="2"/>
        <v>1299.8</v>
      </c>
      <c r="H21" t="s">
        <v>96</v>
      </c>
      <c r="I21" s="17">
        <v>46010</v>
      </c>
      <c r="J21">
        <v>833</v>
      </c>
      <c r="K21" t="s">
        <v>14</v>
      </c>
      <c r="L21" t="s">
        <v>80</v>
      </c>
      <c r="M21" t="s">
        <v>8</v>
      </c>
      <c r="N21" t="s">
        <v>81</v>
      </c>
    </row>
    <row r="22" spans="1:14" x14ac:dyDescent="0.2">
      <c r="A22" s="10">
        <v>46010</v>
      </c>
      <c r="B22" s="11">
        <v>1000</v>
      </c>
      <c r="C22" s="11">
        <f t="shared" si="0"/>
        <v>270</v>
      </c>
      <c r="D22" s="11">
        <v>1010</v>
      </c>
      <c r="E22" s="11">
        <f t="shared" si="1"/>
        <v>363.6</v>
      </c>
      <c r="F22" s="11">
        <v>200</v>
      </c>
      <c r="G22" s="11">
        <f t="shared" si="2"/>
        <v>833.6</v>
      </c>
      <c r="J22" s="9">
        <f>SUM(J16:J21)</f>
        <v>8137</v>
      </c>
      <c r="K22">
        <v>960</v>
      </c>
      <c r="L22">
        <v>100</v>
      </c>
      <c r="M22">
        <v>500</v>
      </c>
    </row>
    <row r="23" spans="1:14" x14ac:dyDescent="0.2">
      <c r="A23" s="4">
        <v>46011</v>
      </c>
      <c r="B23" s="5">
        <v>7000</v>
      </c>
      <c r="C23" s="6">
        <f t="shared" si="0"/>
        <v>1890</v>
      </c>
      <c r="D23" s="5">
        <v>280</v>
      </c>
      <c r="E23" s="6">
        <f t="shared" si="1"/>
        <v>100.80000000000001</v>
      </c>
      <c r="F23" s="5">
        <v>300</v>
      </c>
      <c r="G23" s="7">
        <f t="shared" si="2"/>
        <v>2290.8000000000002</v>
      </c>
      <c r="I23" s="17">
        <v>46011</v>
      </c>
      <c r="J23">
        <v>2290</v>
      </c>
    </row>
    <row r="24" spans="1:14" x14ac:dyDescent="0.2">
      <c r="A24" s="4">
        <v>46012</v>
      </c>
      <c r="B24" s="13">
        <v>4700</v>
      </c>
      <c r="C24" s="6">
        <f t="shared" si="0"/>
        <v>1269</v>
      </c>
      <c r="D24" s="13">
        <v>150</v>
      </c>
      <c r="E24" s="6">
        <f t="shared" si="1"/>
        <v>54</v>
      </c>
      <c r="F24" s="13">
        <v>200</v>
      </c>
      <c r="G24" s="7">
        <f t="shared" si="2"/>
        <v>1523</v>
      </c>
      <c r="H24" t="s">
        <v>132</v>
      </c>
      <c r="I24" s="17">
        <v>46012</v>
      </c>
      <c r="J24">
        <v>1523</v>
      </c>
    </row>
    <row r="25" spans="1:14" x14ac:dyDescent="0.2">
      <c r="A25" s="4">
        <v>46013</v>
      </c>
      <c r="B25" s="5"/>
      <c r="C25" s="6">
        <f t="shared" si="0"/>
        <v>0</v>
      </c>
      <c r="D25" s="5"/>
      <c r="E25" s="6">
        <f t="shared" si="1"/>
        <v>0</v>
      </c>
      <c r="F25" s="5"/>
      <c r="G25" s="7">
        <f t="shared" si="2"/>
        <v>0</v>
      </c>
      <c r="I25" s="17">
        <v>46014</v>
      </c>
      <c r="J25">
        <v>3270</v>
      </c>
    </row>
    <row r="26" spans="1:14" x14ac:dyDescent="0.2">
      <c r="A26" s="4">
        <v>46014</v>
      </c>
      <c r="B26" s="5">
        <v>11000</v>
      </c>
      <c r="C26" s="6">
        <f t="shared" si="0"/>
        <v>2970</v>
      </c>
      <c r="D26" s="5"/>
      <c r="E26" s="6">
        <f t="shared" si="1"/>
        <v>0</v>
      </c>
      <c r="F26" s="5">
        <v>300</v>
      </c>
      <c r="G26" s="7">
        <f t="shared" si="2"/>
        <v>3270</v>
      </c>
      <c r="I26" s="17">
        <v>46015</v>
      </c>
      <c r="J26">
        <v>1839</v>
      </c>
    </row>
    <row r="27" spans="1:14" x14ac:dyDescent="0.2">
      <c r="A27" s="4">
        <v>46015</v>
      </c>
      <c r="B27" s="5">
        <v>5500</v>
      </c>
      <c r="C27" s="6">
        <f t="shared" si="0"/>
        <v>1485</v>
      </c>
      <c r="D27" s="5">
        <v>150</v>
      </c>
      <c r="E27" s="6">
        <f t="shared" si="1"/>
        <v>54</v>
      </c>
      <c r="F27" s="5">
        <v>300</v>
      </c>
      <c r="G27" s="7">
        <f t="shared" si="2"/>
        <v>1839</v>
      </c>
      <c r="I27" s="17">
        <v>46016</v>
      </c>
      <c r="J27">
        <v>2379</v>
      </c>
      <c r="L27" t="s">
        <v>53</v>
      </c>
      <c r="M27" t="s">
        <v>80</v>
      </c>
    </row>
    <row r="28" spans="1:14" x14ac:dyDescent="0.2">
      <c r="A28" s="4">
        <v>46016</v>
      </c>
      <c r="B28" s="5">
        <v>7300</v>
      </c>
      <c r="C28" s="6">
        <f t="shared" si="0"/>
        <v>1971</v>
      </c>
      <c r="D28" s="5">
        <v>300</v>
      </c>
      <c r="E28" s="6">
        <f t="shared" si="1"/>
        <v>108</v>
      </c>
      <c r="F28" s="5">
        <v>300</v>
      </c>
      <c r="G28" s="7">
        <f t="shared" si="2"/>
        <v>2379</v>
      </c>
      <c r="I28" s="17">
        <v>46017</v>
      </c>
      <c r="J28">
        <v>1238</v>
      </c>
      <c r="K28" t="s">
        <v>146</v>
      </c>
      <c r="L28" t="s">
        <v>147</v>
      </c>
      <c r="M28">
        <v>100</v>
      </c>
      <c r="N28" t="s">
        <v>81</v>
      </c>
    </row>
    <row r="29" spans="1:14" x14ac:dyDescent="0.2">
      <c r="A29" s="10">
        <v>46017</v>
      </c>
      <c r="B29" s="11">
        <v>2500</v>
      </c>
      <c r="C29" s="11">
        <f t="shared" si="0"/>
        <v>675</v>
      </c>
      <c r="D29" s="11">
        <v>1010</v>
      </c>
      <c r="E29" s="11">
        <f t="shared" si="1"/>
        <v>363.6</v>
      </c>
      <c r="F29" s="11">
        <v>200</v>
      </c>
      <c r="G29" s="11">
        <f t="shared" si="2"/>
        <v>1238.5999999999999</v>
      </c>
      <c r="H29" t="s">
        <v>140</v>
      </c>
      <c r="J29" s="9">
        <f>SUM(J23:J28)</f>
        <v>12539</v>
      </c>
      <c r="N29" s="8">
        <v>11139</v>
      </c>
    </row>
    <row r="30" spans="1:14" x14ac:dyDescent="0.2">
      <c r="A30" s="4">
        <v>46018</v>
      </c>
      <c r="B30" s="5"/>
      <c r="C30" s="6">
        <f t="shared" si="0"/>
        <v>0</v>
      </c>
      <c r="D30" s="5"/>
      <c r="E30" s="6">
        <f t="shared" si="1"/>
        <v>0</v>
      </c>
      <c r="F30" s="5"/>
      <c r="G30" s="7">
        <f t="shared" si="2"/>
        <v>0</v>
      </c>
    </row>
    <row r="31" spans="1:14" x14ac:dyDescent="0.2">
      <c r="A31" s="4">
        <v>46019</v>
      </c>
      <c r="B31" s="13"/>
      <c r="C31" s="14">
        <f t="shared" si="0"/>
        <v>0</v>
      </c>
      <c r="D31" s="13"/>
      <c r="E31" s="6">
        <f t="shared" si="1"/>
        <v>0</v>
      </c>
      <c r="F31" s="13"/>
      <c r="G31" s="7">
        <f t="shared" si="2"/>
        <v>0</v>
      </c>
    </row>
    <row r="32" spans="1:14" x14ac:dyDescent="0.2">
      <c r="A32" s="4">
        <v>46020</v>
      </c>
      <c r="B32" s="5"/>
      <c r="C32" s="6">
        <f t="shared" si="0"/>
        <v>0</v>
      </c>
      <c r="D32" s="5"/>
      <c r="E32" s="6">
        <f t="shared" si="1"/>
        <v>0</v>
      </c>
      <c r="F32" s="5"/>
      <c r="G32" s="7">
        <f t="shared" si="2"/>
        <v>0</v>
      </c>
    </row>
    <row r="33" spans="1:7" x14ac:dyDescent="0.2">
      <c r="A33" s="4">
        <v>46021</v>
      </c>
      <c r="B33" s="5"/>
      <c r="C33" s="6">
        <f t="shared" si="0"/>
        <v>0</v>
      </c>
      <c r="D33" s="5"/>
      <c r="E33" s="6">
        <f t="shared" si="1"/>
        <v>0</v>
      </c>
      <c r="F33" s="5"/>
      <c r="G33" s="7">
        <f t="shared" si="2"/>
        <v>0</v>
      </c>
    </row>
    <row r="34" spans="1:7" x14ac:dyDescent="0.2">
      <c r="A34" s="4">
        <v>46022</v>
      </c>
      <c r="B34" s="5"/>
      <c r="C34" s="6"/>
      <c r="D34" s="5"/>
      <c r="E34" s="6"/>
      <c r="F34" s="5"/>
      <c r="G34" s="7"/>
    </row>
    <row r="35" spans="1:7" x14ac:dyDescent="0.2">
      <c r="A35" s="5" t="s">
        <v>6</v>
      </c>
      <c r="B35" s="5">
        <f>SUM(B4:B34)</f>
        <v>86400</v>
      </c>
      <c r="C35" s="5">
        <f>SUM(C4:C34)</f>
        <v>23328</v>
      </c>
      <c r="D35" s="5">
        <f>SUM(D4:D34)</f>
        <v>11160</v>
      </c>
      <c r="E35" s="5">
        <f>SUM(E4:E34)</f>
        <v>3747.6</v>
      </c>
      <c r="F35" s="5">
        <f>SUM(F5:F34)</f>
        <v>4400</v>
      </c>
      <c r="G35" s="5">
        <f>SUM(G4:G34)</f>
        <v>31475.599999999995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7C23-36F6-2D4A-AA44-938AF3C42BF5}">
  <dimension ref="A1:O35"/>
  <sheetViews>
    <sheetView topLeftCell="A11" zoomScale="125" workbookViewId="0">
      <selection activeCell="N29" sqref="N29"/>
    </sheetView>
  </sheetViews>
  <sheetFormatPr baseColWidth="10" defaultRowHeight="16" x14ac:dyDescent="0.2"/>
  <cols>
    <col min="9" max="9" width="12.33203125" customWidth="1"/>
  </cols>
  <sheetData>
    <row r="1" spans="1:15" x14ac:dyDescent="0.2">
      <c r="A1" t="s">
        <v>19</v>
      </c>
    </row>
    <row r="2" spans="1:15" x14ac:dyDescent="0.2">
      <c r="A2" t="s">
        <v>17</v>
      </c>
      <c r="B2">
        <v>2025</v>
      </c>
      <c r="I2" s="15"/>
      <c r="J2" s="12"/>
      <c r="M2" t="s">
        <v>51</v>
      </c>
    </row>
    <row r="3" spans="1:15" x14ac:dyDescent="0.2">
      <c r="A3" s="5" t="s">
        <v>0</v>
      </c>
      <c r="B3" s="5" t="s">
        <v>9</v>
      </c>
      <c r="C3" s="6" t="s">
        <v>10</v>
      </c>
      <c r="D3" s="5" t="s">
        <v>11</v>
      </c>
      <c r="E3" s="6" t="s">
        <v>12</v>
      </c>
      <c r="F3" s="5" t="s">
        <v>4</v>
      </c>
      <c r="G3" s="7" t="s">
        <v>13</v>
      </c>
      <c r="H3" t="s">
        <v>14</v>
      </c>
      <c r="I3" t="s">
        <v>22</v>
      </c>
      <c r="J3" t="s">
        <v>23</v>
      </c>
      <c r="K3" s="12" t="s">
        <v>21</v>
      </c>
      <c r="L3" t="s">
        <v>37</v>
      </c>
      <c r="M3" t="s">
        <v>16</v>
      </c>
      <c r="N3" t="s">
        <v>25</v>
      </c>
      <c r="O3" t="s">
        <v>18</v>
      </c>
    </row>
    <row r="4" spans="1:15" x14ac:dyDescent="0.2">
      <c r="A4" s="4">
        <v>45992</v>
      </c>
      <c r="B4" s="5"/>
      <c r="C4" s="6">
        <f>(B4*0.9*0.3)</f>
        <v>0</v>
      </c>
      <c r="D4" s="5">
        <v>1720</v>
      </c>
      <c r="E4" s="6">
        <f>(D4*0.9*0.4)</f>
        <v>619.20000000000005</v>
      </c>
      <c r="F4" s="5">
        <v>200</v>
      </c>
      <c r="G4" s="7">
        <f>(C4+E4+F4)</f>
        <v>819.2</v>
      </c>
      <c r="I4" t="s">
        <v>43</v>
      </c>
      <c r="J4" s="12">
        <v>1636</v>
      </c>
      <c r="K4" s="12"/>
      <c r="L4" s="12">
        <v>500</v>
      </c>
    </row>
    <row r="5" spans="1:15" x14ac:dyDescent="0.2">
      <c r="A5" s="4">
        <v>45993</v>
      </c>
      <c r="B5" s="5"/>
      <c r="C5" s="6">
        <f t="shared" ref="C5:C33" si="0">(B5*0.9*0.3)</f>
        <v>0</v>
      </c>
      <c r="D5" s="5"/>
      <c r="E5" s="6">
        <f t="shared" ref="E5:E33" si="1">(D5*0.9*0.4)</f>
        <v>0</v>
      </c>
      <c r="F5" s="5"/>
      <c r="G5" s="7">
        <f t="shared" ref="G5:G33" si="2">(C5+E5+F5)</f>
        <v>0</v>
      </c>
      <c r="I5" t="s">
        <v>44</v>
      </c>
      <c r="J5">
        <v>1816</v>
      </c>
      <c r="L5" s="12"/>
    </row>
    <row r="6" spans="1:15" x14ac:dyDescent="0.2">
      <c r="A6" s="4">
        <v>45994</v>
      </c>
      <c r="B6" s="5">
        <v>5300</v>
      </c>
      <c r="C6" s="6">
        <f t="shared" si="0"/>
        <v>1431</v>
      </c>
      <c r="D6" s="5">
        <v>600</v>
      </c>
      <c r="E6" s="6">
        <f t="shared" si="1"/>
        <v>216</v>
      </c>
      <c r="F6" s="5">
        <v>300</v>
      </c>
      <c r="G6" s="7">
        <f t="shared" si="2"/>
        <v>1947</v>
      </c>
      <c r="I6" t="s">
        <v>45</v>
      </c>
      <c r="J6">
        <v>4283</v>
      </c>
      <c r="L6" s="12">
        <v>500</v>
      </c>
      <c r="M6" t="s">
        <v>50</v>
      </c>
      <c r="N6" s="17"/>
    </row>
    <row r="7" spans="1:15" x14ac:dyDescent="0.2">
      <c r="A7" s="4">
        <v>45995</v>
      </c>
      <c r="B7" s="5">
        <v>2300</v>
      </c>
      <c r="C7" s="6">
        <f t="shared" si="0"/>
        <v>621</v>
      </c>
      <c r="D7" s="5">
        <v>950</v>
      </c>
      <c r="E7" s="6">
        <f t="shared" si="1"/>
        <v>342</v>
      </c>
      <c r="F7" s="5">
        <v>200</v>
      </c>
      <c r="G7" s="7">
        <f t="shared" si="2"/>
        <v>1163</v>
      </c>
      <c r="I7" t="s">
        <v>46</v>
      </c>
      <c r="J7" s="9">
        <f ca="1">SUM(J4:J7)</f>
        <v>7735</v>
      </c>
      <c r="L7">
        <f ca="1">SUM(L4:L7)</f>
        <v>1000</v>
      </c>
      <c r="M7" s="30">
        <v>100</v>
      </c>
      <c r="O7" s="8">
        <v>6635</v>
      </c>
    </row>
    <row r="8" spans="1:15" x14ac:dyDescent="0.2">
      <c r="A8" s="10">
        <v>45996</v>
      </c>
      <c r="B8" s="11"/>
      <c r="C8" s="11">
        <f t="shared" si="0"/>
        <v>0</v>
      </c>
      <c r="D8" s="11">
        <v>430</v>
      </c>
      <c r="E8" s="11">
        <f t="shared" si="1"/>
        <v>154.80000000000001</v>
      </c>
      <c r="F8" s="11">
        <v>200</v>
      </c>
      <c r="G8" s="11">
        <f t="shared" si="2"/>
        <v>354.8</v>
      </c>
      <c r="I8" s="17">
        <v>45997</v>
      </c>
      <c r="J8">
        <v>772</v>
      </c>
    </row>
    <row r="9" spans="1:15" x14ac:dyDescent="0.2">
      <c r="A9" s="4">
        <v>45997</v>
      </c>
      <c r="B9" s="5"/>
      <c r="C9" s="6">
        <f t="shared" si="0"/>
        <v>0</v>
      </c>
      <c r="D9" s="5">
        <v>1590</v>
      </c>
      <c r="E9" s="6">
        <f t="shared" si="1"/>
        <v>572.4</v>
      </c>
      <c r="F9" s="5">
        <v>200</v>
      </c>
      <c r="G9" s="7">
        <f t="shared" si="2"/>
        <v>772.4</v>
      </c>
      <c r="I9" s="17">
        <v>45998</v>
      </c>
      <c r="J9">
        <v>644</v>
      </c>
    </row>
    <row r="10" spans="1:15" x14ac:dyDescent="0.2">
      <c r="A10" s="4">
        <v>45998</v>
      </c>
      <c r="B10" s="13">
        <v>100</v>
      </c>
      <c r="C10" s="6">
        <f t="shared" si="0"/>
        <v>27</v>
      </c>
      <c r="D10" s="13">
        <v>1160</v>
      </c>
      <c r="E10" s="6">
        <f t="shared" si="1"/>
        <v>417.6</v>
      </c>
      <c r="F10" s="13">
        <v>200</v>
      </c>
      <c r="G10" s="7">
        <f t="shared" si="2"/>
        <v>644.6</v>
      </c>
      <c r="I10" s="17">
        <v>45999</v>
      </c>
      <c r="J10">
        <v>2243</v>
      </c>
    </row>
    <row r="11" spans="1:15" x14ac:dyDescent="0.2">
      <c r="A11" s="4">
        <v>45999</v>
      </c>
      <c r="B11" s="5">
        <v>6250</v>
      </c>
      <c r="C11" s="6">
        <f t="shared" si="0"/>
        <v>1687.5</v>
      </c>
      <c r="D11" s="5">
        <v>990</v>
      </c>
      <c r="E11" s="6">
        <f t="shared" si="1"/>
        <v>356.40000000000003</v>
      </c>
      <c r="F11" s="5">
        <v>200</v>
      </c>
      <c r="G11" s="7">
        <f t="shared" si="2"/>
        <v>2243.9</v>
      </c>
      <c r="H11">
        <v>500</v>
      </c>
      <c r="I11" s="17">
        <v>46001</v>
      </c>
      <c r="J11">
        <v>1218</v>
      </c>
    </row>
    <row r="12" spans="1:15" x14ac:dyDescent="0.2">
      <c r="A12" s="4">
        <v>46000</v>
      </c>
      <c r="B12" s="5"/>
      <c r="C12" s="6">
        <f t="shared" si="0"/>
        <v>0</v>
      </c>
      <c r="D12" s="5"/>
      <c r="E12" s="6">
        <f t="shared" si="1"/>
        <v>0</v>
      </c>
      <c r="F12" s="5"/>
      <c r="G12" s="7">
        <f t="shared" si="2"/>
        <v>0</v>
      </c>
      <c r="I12" s="17">
        <v>46002</v>
      </c>
      <c r="J12">
        <v>617</v>
      </c>
    </row>
    <row r="13" spans="1:15" x14ac:dyDescent="0.2">
      <c r="A13" s="4">
        <v>46001</v>
      </c>
      <c r="B13" s="5">
        <v>3000</v>
      </c>
      <c r="C13" s="6">
        <f t="shared" si="0"/>
        <v>810</v>
      </c>
      <c r="D13" s="5">
        <v>580</v>
      </c>
      <c r="E13" s="6">
        <f t="shared" si="1"/>
        <v>208.8</v>
      </c>
      <c r="F13" s="5">
        <v>200</v>
      </c>
      <c r="G13" s="7">
        <f t="shared" si="2"/>
        <v>1218.8</v>
      </c>
      <c r="H13">
        <v>500</v>
      </c>
      <c r="I13" s="17">
        <v>46003</v>
      </c>
      <c r="J13">
        <v>1130</v>
      </c>
      <c r="K13" t="s">
        <v>14</v>
      </c>
      <c r="L13" t="s">
        <v>80</v>
      </c>
      <c r="N13" t="s">
        <v>81</v>
      </c>
    </row>
    <row r="14" spans="1:15" x14ac:dyDescent="0.2">
      <c r="A14" s="4">
        <v>46002</v>
      </c>
      <c r="B14" s="5"/>
      <c r="C14" s="6">
        <f t="shared" si="0"/>
        <v>0</v>
      </c>
      <c r="D14" s="5">
        <v>1160</v>
      </c>
      <c r="E14" s="6">
        <f t="shared" si="1"/>
        <v>417.6</v>
      </c>
      <c r="F14" s="5">
        <v>200</v>
      </c>
      <c r="G14" s="7">
        <f t="shared" si="2"/>
        <v>617.6</v>
      </c>
      <c r="J14" s="9">
        <f>SUM(K7:K14)</f>
        <v>1000</v>
      </c>
      <c r="K14">
        <v>1000</v>
      </c>
      <c r="L14">
        <v>100</v>
      </c>
      <c r="N14" s="9">
        <v>5524</v>
      </c>
      <c r="O14" t="s">
        <v>83</v>
      </c>
    </row>
    <row r="15" spans="1:15" x14ac:dyDescent="0.2">
      <c r="A15" s="10">
        <v>46003</v>
      </c>
      <c r="B15" s="11">
        <v>2100</v>
      </c>
      <c r="C15" s="11">
        <f t="shared" si="0"/>
        <v>567</v>
      </c>
      <c r="D15" s="11">
        <v>1010</v>
      </c>
      <c r="E15" s="11">
        <f t="shared" si="1"/>
        <v>363.6</v>
      </c>
      <c r="F15" s="11">
        <v>200</v>
      </c>
      <c r="G15" s="11">
        <f t="shared" si="2"/>
        <v>1130.5999999999999</v>
      </c>
    </row>
    <row r="16" spans="1:15" x14ac:dyDescent="0.2">
      <c r="A16" s="4">
        <v>46004</v>
      </c>
      <c r="B16" s="5">
        <v>5850</v>
      </c>
      <c r="C16" s="6">
        <f t="shared" si="0"/>
        <v>1579.5</v>
      </c>
      <c r="D16" s="5">
        <v>970</v>
      </c>
      <c r="E16" s="6">
        <f t="shared" si="1"/>
        <v>349.20000000000005</v>
      </c>
      <c r="F16" s="5">
        <v>300</v>
      </c>
      <c r="G16" s="7">
        <f t="shared" si="2"/>
        <v>2228.6999999999998</v>
      </c>
      <c r="I16" s="17">
        <v>46004</v>
      </c>
      <c r="J16">
        <v>2228</v>
      </c>
    </row>
    <row r="17" spans="1:14" x14ac:dyDescent="0.2">
      <c r="A17" s="4">
        <v>46005</v>
      </c>
      <c r="B17" s="13">
        <v>1800</v>
      </c>
      <c r="C17" s="6">
        <f t="shared" si="0"/>
        <v>486</v>
      </c>
      <c r="D17" s="13">
        <v>820</v>
      </c>
      <c r="E17" s="6">
        <f t="shared" si="1"/>
        <v>295.2</v>
      </c>
      <c r="F17" s="13">
        <v>200</v>
      </c>
      <c r="G17" s="7">
        <f t="shared" si="2"/>
        <v>981.2</v>
      </c>
      <c r="I17" s="17">
        <v>46005</v>
      </c>
      <c r="J17">
        <v>981</v>
      </c>
    </row>
    <row r="18" spans="1:14" x14ac:dyDescent="0.2">
      <c r="A18" s="4">
        <v>46006</v>
      </c>
      <c r="B18" s="5"/>
      <c r="C18" s="6">
        <f t="shared" si="0"/>
        <v>0</v>
      </c>
      <c r="D18" s="5"/>
      <c r="E18" s="6">
        <f t="shared" si="1"/>
        <v>0</v>
      </c>
      <c r="F18" s="5"/>
      <c r="G18" s="7">
        <f t="shared" si="2"/>
        <v>0</v>
      </c>
      <c r="I18" s="17">
        <v>46008</v>
      </c>
      <c r="J18">
        <v>2067</v>
      </c>
    </row>
    <row r="19" spans="1:14" x14ac:dyDescent="0.2">
      <c r="A19" s="4">
        <v>46007</v>
      </c>
      <c r="B19" s="5"/>
      <c r="C19" s="6">
        <f t="shared" si="0"/>
        <v>0</v>
      </c>
      <c r="D19" s="5"/>
      <c r="E19" s="6">
        <f t="shared" si="1"/>
        <v>0</v>
      </c>
      <c r="F19" s="5"/>
      <c r="G19" s="7">
        <f t="shared" si="2"/>
        <v>0</v>
      </c>
      <c r="I19" s="17">
        <v>46009</v>
      </c>
      <c r="J19">
        <v>1285</v>
      </c>
    </row>
    <row r="20" spans="1:14" x14ac:dyDescent="0.2">
      <c r="A20" s="4">
        <v>46008</v>
      </c>
      <c r="B20" s="5">
        <v>3960</v>
      </c>
      <c r="C20" s="6">
        <f t="shared" si="0"/>
        <v>1069.2</v>
      </c>
      <c r="D20" s="5">
        <v>1940</v>
      </c>
      <c r="E20" s="6">
        <f t="shared" si="1"/>
        <v>698.40000000000009</v>
      </c>
      <c r="F20" s="5">
        <v>300</v>
      </c>
      <c r="G20" s="7">
        <f t="shared" si="2"/>
        <v>2067.6000000000004</v>
      </c>
      <c r="H20" t="s">
        <v>91</v>
      </c>
      <c r="I20" s="17">
        <v>46010</v>
      </c>
      <c r="J20">
        <v>914</v>
      </c>
      <c r="K20" t="s">
        <v>14</v>
      </c>
      <c r="L20" t="s">
        <v>80</v>
      </c>
      <c r="N20" t="s">
        <v>81</v>
      </c>
    </row>
    <row r="21" spans="1:14" x14ac:dyDescent="0.2">
      <c r="A21" s="4">
        <v>46009</v>
      </c>
      <c r="B21" s="5">
        <v>2700</v>
      </c>
      <c r="C21" s="6">
        <f t="shared" si="0"/>
        <v>729</v>
      </c>
      <c r="D21" s="5">
        <v>990</v>
      </c>
      <c r="E21" s="6">
        <f t="shared" si="1"/>
        <v>356.40000000000003</v>
      </c>
      <c r="F21" s="5">
        <v>200</v>
      </c>
      <c r="G21" s="7">
        <f t="shared" si="2"/>
        <v>1285.4000000000001</v>
      </c>
      <c r="H21" t="s">
        <v>95</v>
      </c>
      <c r="J21" s="9">
        <f>SUM(J16:J20)</f>
        <v>7475</v>
      </c>
      <c r="K21">
        <v>450</v>
      </c>
      <c r="L21">
        <v>100</v>
      </c>
      <c r="N21">
        <v>6925</v>
      </c>
    </row>
    <row r="22" spans="1:14" x14ac:dyDescent="0.2">
      <c r="A22" s="10">
        <v>46010</v>
      </c>
      <c r="B22" s="11">
        <v>1500</v>
      </c>
      <c r="C22" s="11">
        <f t="shared" si="0"/>
        <v>405</v>
      </c>
      <c r="D22" s="11">
        <v>860</v>
      </c>
      <c r="E22" s="11">
        <f t="shared" si="1"/>
        <v>309.60000000000002</v>
      </c>
      <c r="F22" s="11">
        <v>200</v>
      </c>
      <c r="G22" s="11">
        <f t="shared" si="2"/>
        <v>914.6</v>
      </c>
      <c r="I22" s="17"/>
    </row>
    <row r="23" spans="1:14" x14ac:dyDescent="0.2">
      <c r="A23" s="4">
        <v>46011</v>
      </c>
      <c r="B23" s="5">
        <v>6500</v>
      </c>
      <c r="C23" s="6">
        <f t="shared" si="0"/>
        <v>1755</v>
      </c>
      <c r="D23" s="5">
        <v>430</v>
      </c>
      <c r="E23" s="6">
        <f t="shared" si="1"/>
        <v>154.80000000000001</v>
      </c>
      <c r="F23" s="5">
        <v>300</v>
      </c>
      <c r="G23" s="7">
        <f t="shared" si="2"/>
        <v>2209.8000000000002</v>
      </c>
      <c r="H23" s="12"/>
      <c r="I23" s="17">
        <v>46011</v>
      </c>
      <c r="J23">
        <v>2209</v>
      </c>
    </row>
    <row r="24" spans="1:14" x14ac:dyDescent="0.2">
      <c r="A24" s="4">
        <v>46012</v>
      </c>
      <c r="B24" s="13">
        <v>3500</v>
      </c>
      <c r="C24" s="6">
        <f t="shared" si="0"/>
        <v>945</v>
      </c>
      <c r="D24" s="13">
        <v>1230</v>
      </c>
      <c r="E24" s="6">
        <f t="shared" si="1"/>
        <v>442.8</v>
      </c>
      <c r="F24" s="13">
        <v>200</v>
      </c>
      <c r="G24" s="7">
        <f t="shared" si="2"/>
        <v>1587.8</v>
      </c>
      <c r="H24" s="12"/>
      <c r="I24" s="17">
        <v>46012</v>
      </c>
      <c r="J24">
        <v>1587</v>
      </c>
      <c r="K24" s="16"/>
    </row>
    <row r="25" spans="1:14" x14ac:dyDescent="0.2">
      <c r="A25" s="4">
        <v>46013</v>
      </c>
      <c r="B25" s="5"/>
      <c r="C25" s="6">
        <f t="shared" si="0"/>
        <v>0</v>
      </c>
      <c r="D25" s="5"/>
      <c r="E25" s="6">
        <f t="shared" si="1"/>
        <v>0</v>
      </c>
      <c r="F25" s="5"/>
      <c r="G25" s="7">
        <f t="shared" si="2"/>
        <v>0</v>
      </c>
      <c r="I25" s="17">
        <v>46014</v>
      </c>
      <c r="J25">
        <v>1447</v>
      </c>
    </row>
    <row r="26" spans="1:14" x14ac:dyDescent="0.2">
      <c r="A26" s="4">
        <v>46014</v>
      </c>
      <c r="B26" s="5">
        <v>10500</v>
      </c>
      <c r="C26" s="6">
        <f t="shared" si="0"/>
        <v>2835</v>
      </c>
      <c r="D26" s="5">
        <v>280</v>
      </c>
      <c r="E26" s="6">
        <f t="shared" si="1"/>
        <v>100.80000000000001</v>
      </c>
      <c r="F26" s="5">
        <v>300</v>
      </c>
      <c r="G26" s="7">
        <f t="shared" si="2"/>
        <v>3235.8</v>
      </c>
      <c r="I26" s="17">
        <v>46015</v>
      </c>
      <c r="J26">
        <v>3235</v>
      </c>
    </row>
    <row r="27" spans="1:14" x14ac:dyDescent="0.2">
      <c r="A27" s="4">
        <v>46015</v>
      </c>
      <c r="B27" s="5">
        <v>3500</v>
      </c>
      <c r="C27" s="6">
        <f t="shared" si="0"/>
        <v>945</v>
      </c>
      <c r="D27" s="5">
        <v>840</v>
      </c>
      <c r="E27" s="6">
        <f t="shared" si="1"/>
        <v>302.40000000000003</v>
      </c>
      <c r="F27" s="5">
        <v>200</v>
      </c>
      <c r="G27" s="7">
        <f t="shared" si="2"/>
        <v>1447.4</v>
      </c>
      <c r="I27" s="17">
        <v>46017</v>
      </c>
      <c r="J27">
        <v>1447</v>
      </c>
      <c r="K27" t="s">
        <v>80</v>
      </c>
      <c r="L27" t="s">
        <v>81</v>
      </c>
    </row>
    <row r="28" spans="1:14" x14ac:dyDescent="0.2">
      <c r="A28" s="4">
        <v>46016</v>
      </c>
      <c r="B28" s="5"/>
      <c r="C28" s="6">
        <f t="shared" si="0"/>
        <v>0</v>
      </c>
      <c r="D28" s="5"/>
      <c r="E28" s="6">
        <f t="shared" si="1"/>
        <v>0</v>
      </c>
      <c r="F28" s="5"/>
      <c r="G28" s="7">
        <f t="shared" si="2"/>
        <v>0</v>
      </c>
      <c r="J28" s="36">
        <f>SUM(J23:J27)</f>
        <v>9925</v>
      </c>
      <c r="K28">
        <v>100</v>
      </c>
      <c r="L28" s="8">
        <v>8825</v>
      </c>
    </row>
    <row r="29" spans="1:14" x14ac:dyDescent="0.2">
      <c r="A29" s="10">
        <v>46017</v>
      </c>
      <c r="B29" s="11">
        <v>2500</v>
      </c>
      <c r="C29" s="11">
        <f t="shared" si="0"/>
        <v>675</v>
      </c>
      <c r="D29" s="11">
        <v>1380</v>
      </c>
      <c r="E29" s="11">
        <f t="shared" si="1"/>
        <v>496.8</v>
      </c>
      <c r="F29" s="11"/>
      <c r="G29" s="11">
        <f t="shared" si="2"/>
        <v>1171.8</v>
      </c>
    </row>
    <row r="30" spans="1:14" x14ac:dyDescent="0.2">
      <c r="A30" s="4">
        <v>46018</v>
      </c>
      <c r="B30" s="5"/>
      <c r="C30" s="6">
        <f t="shared" si="0"/>
        <v>0</v>
      </c>
      <c r="D30" s="5"/>
      <c r="E30" s="6">
        <f t="shared" si="1"/>
        <v>0</v>
      </c>
      <c r="F30" s="5"/>
      <c r="G30" s="7">
        <f t="shared" si="2"/>
        <v>0</v>
      </c>
    </row>
    <row r="31" spans="1:14" x14ac:dyDescent="0.2">
      <c r="A31" s="4">
        <v>46019</v>
      </c>
      <c r="B31" s="13"/>
      <c r="C31" s="14">
        <f t="shared" si="0"/>
        <v>0</v>
      </c>
      <c r="D31" s="13"/>
      <c r="E31" s="6">
        <f t="shared" si="1"/>
        <v>0</v>
      </c>
      <c r="F31" s="13"/>
      <c r="G31" s="7">
        <f t="shared" si="2"/>
        <v>0</v>
      </c>
      <c r="K31" s="9"/>
    </row>
    <row r="32" spans="1:14" x14ac:dyDescent="0.2">
      <c r="A32" s="4">
        <v>46020</v>
      </c>
      <c r="B32" s="5"/>
      <c r="C32" s="6">
        <f t="shared" si="0"/>
        <v>0</v>
      </c>
      <c r="D32" s="5"/>
      <c r="E32" s="6">
        <f t="shared" si="1"/>
        <v>0</v>
      </c>
      <c r="F32" s="5"/>
      <c r="G32" s="7">
        <f t="shared" si="2"/>
        <v>0</v>
      </c>
    </row>
    <row r="33" spans="1:7" x14ac:dyDescent="0.2">
      <c r="A33" s="4">
        <v>46021</v>
      </c>
      <c r="B33" s="5"/>
      <c r="C33" s="6">
        <f t="shared" si="0"/>
        <v>0</v>
      </c>
      <c r="D33" s="5"/>
      <c r="E33" s="6">
        <f t="shared" si="1"/>
        <v>0</v>
      </c>
      <c r="F33" s="5"/>
      <c r="G33" s="7">
        <f t="shared" si="2"/>
        <v>0</v>
      </c>
    </row>
    <row r="34" spans="1:7" x14ac:dyDescent="0.2">
      <c r="A34" s="4">
        <v>46022</v>
      </c>
      <c r="B34" s="5"/>
      <c r="C34" s="6"/>
      <c r="D34" s="5"/>
      <c r="E34" s="6"/>
      <c r="F34" s="5"/>
      <c r="G34" s="7"/>
    </row>
    <row r="35" spans="1:7" x14ac:dyDescent="0.2">
      <c r="A35" s="5" t="s">
        <v>6</v>
      </c>
      <c r="B35" s="5">
        <f>SUM(B4:B34)</f>
        <v>61360</v>
      </c>
      <c r="C35" s="5">
        <f>SUM(C4:C34)</f>
        <v>16567.2</v>
      </c>
      <c r="D35" s="5">
        <f>SUM(D4:D34)</f>
        <v>19930</v>
      </c>
      <c r="E35" s="5">
        <f>SUM(E4:E34)</f>
        <v>7174.8000000000011</v>
      </c>
      <c r="F35" s="5">
        <f>SUM(F5:F34)</f>
        <v>4100</v>
      </c>
      <c r="G35" s="5">
        <f>SUM(G4:G34)</f>
        <v>28041.999999999996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7C74E-7C58-5C4B-B0DD-56338F90E9DB}">
  <dimension ref="A1:O34"/>
  <sheetViews>
    <sheetView topLeftCell="B14" zoomScale="150" zoomScaleNormal="127" workbookViewId="0">
      <selection activeCell="M28" sqref="M28"/>
    </sheetView>
  </sheetViews>
  <sheetFormatPr baseColWidth="10" defaultRowHeight="16" x14ac:dyDescent="0.2"/>
  <sheetData>
    <row r="1" spans="1:15" x14ac:dyDescent="0.2">
      <c r="A1" t="s">
        <v>26</v>
      </c>
    </row>
    <row r="2" spans="1:15" ht="34" x14ac:dyDescent="0.2">
      <c r="A2" s="1" t="s">
        <v>0</v>
      </c>
      <c r="B2" s="1" t="s">
        <v>1</v>
      </c>
      <c r="C2" s="2" t="s">
        <v>2</v>
      </c>
      <c r="D2" s="1" t="s">
        <v>3</v>
      </c>
      <c r="E2" s="2" t="s">
        <v>2</v>
      </c>
      <c r="F2" s="1" t="s">
        <v>4</v>
      </c>
      <c r="G2" s="3" t="s">
        <v>5</v>
      </c>
      <c r="H2" t="s">
        <v>37</v>
      </c>
      <c r="I2" t="s">
        <v>22</v>
      </c>
      <c r="J2" t="s">
        <v>23</v>
      </c>
      <c r="K2" s="12" t="s">
        <v>21</v>
      </c>
      <c r="L2" s="12" t="s">
        <v>14</v>
      </c>
      <c r="M2" t="s">
        <v>24</v>
      </c>
      <c r="N2" t="s">
        <v>57</v>
      </c>
    </row>
    <row r="3" spans="1:15" x14ac:dyDescent="0.2">
      <c r="A3" s="4">
        <v>45992</v>
      </c>
      <c r="B3" s="5">
        <v>2280</v>
      </c>
      <c r="C3" s="6">
        <f>(B3*0.9*0.3)</f>
        <v>615.6</v>
      </c>
      <c r="D3" s="5"/>
      <c r="E3" s="6">
        <f>(D3*0.8*0.15)</f>
        <v>0</v>
      </c>
      <c r="F3" s="5">
        <v>200</v>
      </c>
      <c r="G3" s="7">
        <f>(C3+E3+F3)</f>
        <v>815.6</v>
      </c>
      <c r="I3" t="s">
        <v>43</v>
      </c>
      <c r="J3" s="12">
        <v>710</v>
      </c>
      <c r="K3" s="12"/>
      <c r="L3" s="12"/>
      <c r="M3" s="17"/>
    </row>
    <row r="4" spans="1:15" x14ac:dyDescent="0.2">
      <c r="A4" s="4">
        <v>45993</v>
      </c>
      <c r="B4" s="5">
        <v>2035</v>
      </c>
      <c r="C4" s="6">
        <f t="shared" ref="C4:C33" si="0">(B4*0.9*0.3)</f>
        <v>549.44999999999993</v>
      </c>
      <c r="D4" s="5"/>
      <c r="E4" s="6">
        <f t="shared" ref="E4:E33" si="1">(D4*0.8*0.15)</f>
        <v>0</v>
      </c>
      <c r="F4" s="5">
        <v>200</v>
      </c>
      <c r="G4" s="7">
        <f t="shared" ref="G4:G33" si="2">(C4+E4+F4)</f>
        <v>749.44999999999993</v>
      </c>
      <c r="I4" t="s">
        <v>56</v>
      </c>
      <c r="J4">
        <v>803</v>
      </c>
    </row>
    <row r="5" spans="1:15" x14ac:dyDescent="0.2">
      <c r="A5" s="4">
        <v>45994</v>
      </c>
      <c r="B5" s="5"/>
      <c r="C5" s="6">
        <f t="shared" si="0"/>
        <v>0</v>
      </c>
      <c r="D5" s="5"/>
      <c r="E5" s="6">
        <f t="shared" si="1"/>
        <v>0</v>
      </c>
      <c r="F5" s="5"/>
      <c r="G5" s="7">
        <f t="shared" si="2"/>
        <v>0</v>
      </c>
      <c r="I5" t="s">
        <v>52</v>
      </c>
      <c r="J5">
        <v>3305</v>
      </c>
      <c r="K5">
        <v>75</v>
      </c>
      <c r="M5">
        <v>1000</v>
      </c>
    </row>
    <row r="6" spans="1:15" x14ac:dyDescent="0.2">
      <c r="A6" s="4">
        <v>45995</v>
      </c>
      <c r="B6" s="5">
        <v>2359</v>
      </c>
      <c r="C6" s="6">
        <f t="shared" si="0"/>
        <v>636.92999999999995</v>
      </c>
      <c r="D6" s="5"/>
      <c r="E6" s="6">
        <f t="shared" si="1"/>
        <v>0</v>
      </c>
      <c r="F6" s="5">
        <v>200</v>
      </c>
      <c r="G6" s="7">
        <f t="shared" si="2"/>
        <v>836.93</v>
      </c>
      <c r="J6" s="9">
        <f ca="1">SUM(J3:J6)</f>
        <v>4818</v>
      </c>
      <c r="K6">
        <v>75</v>
      </c>
      <c r="L6">
        <v>600</v>
      </c>
      <c r="M6">
        <v>1000</v>
      </c>
      <c r="N6" s="9">
        <v>3143</v>
      </c>
    </row>
    <row r="7" spans="1:15" x14ac:dyDescent="0.2">
      <c r="A7" s="10">
        <v>45996</v>
      </c>
      <c r="B7" s="11">
        <v>3350</v>
      </c>
      <c r="C7" s="11">
        <f t="shared" si="0"/>
        <v>904.5</v>
      </c>
      <c r="D7" s="11"/>
      <c r="E7" s="11">
        <f t="shared" si="1"/>
        <v>0</v>
      </c>
      <c r="F7" s="11"/>
      <c r="G7" s="11">
        <f t="shared" si="2"/>
        <v>904.5</v>
      </c>
      <c r="I7" s="17">
        <v>45996</v>
      </c>
      <c r="J7">
        <v>790.76</v>
      </c>
    </row>
    <row r="8" spans="1:15" x14ac:dyDescent="0.2">
      <c r="A8" s="4">
        <v>45997</v>
      </c>
      <c r="B8" s="5">
        <v>2188</v>
      </c>
      <c r="C8" s="6">
        <f t="shared" si="0"/>
        <v>590.76</v>
      </c>
      <c r="D8" s="5"/>
      <c r="E8" s="6">
        <f t="shared" si="1"/>
        <v>0</v>
      </c>
      <c r="F8" s="5">
        <v>200</v>
      </c>
      <c r="G8" s="7">
        <f t="shared" si="2"/>
        <v>790.76</v>
      </c>
      <c r="I8" s="17">
        <v>45997</v>
      </c>
      <c r="J8">
        <v>748.64</v>
      </c>
    </row>
    <row r="9" spans="1:15" x14ac:dyDescent="0.2">
      <c r="A9" s="4">
        <v>45998</v>
      </c>
      <c r="B9" s="5">
        <v>2032</v>
      </c>
      <c r="C9" s="6">
        <f t="shared" si="0"/>
        <v>548.64</v>
      </c>
      <c r="D9" s="5"/>
      <c r="E9" s="6">
        <f t="shared" si="1"/>
        <v>0</v>
      </c>
      <c r="F9" s="5">
        <v>200</v>
      </c>
      <c r="G9" s="7">
        <f t="shared" si="2"/>
        <v>748.64</v>
      </c>
      <c r="H9">
        <v>400</v>
      </c>
      <c r="I9" s="17">
        <v>45998</v>
      </c>
      <c r="J9">
        <v>885.53</v>
      </c>
    </row>
    <row r="10" spans="1:15" x14ac:dyDescent="0.2">
      <c r="A10" s="4">
        <v>45999</v>
      </c>
      <c r="B10" s="5">
        <v>2539</v>
      </c>
      <c r="C10" s="6">
        <f t="shared" si="0"/>
        <v>685.53</v>
      </c>
      <c r="D10" s="5"/>
      <c r="E10" s="6">
        <f t="shared" si="1"/>
        <v>0</v>
      </c>
      <c r="F10" s="5">
        <v>200</v>
      </c>
      <c r="G10" s="7">
        <f t="shared" si="2"/>
        <v>885.53</v>
      </c>
      <c r="H10">
        <v>200</v>
      </c>
      <c r="I10" s="17">
        <v>45999</v>
      </c>
      <c r="J10">
        <v>697.88</v>
      </c>
    </row>
    <row r="11" spans="1:15" x14ac:dyDescent="0.2">
      <c r="A11" s="4">
        <v>46000</v>
      </c>
      <c r="B11" s="5">
        <v>1444</v>
      </c>
      <c r="C11" s="6">
        <f t="shared" si="0"/>
        <v>389.88000000000005</v>
      </c>
      <c r="D11" s="5">
        <v>900</v>
      </c>
      <c r="E11" s="6">
        <f t="shared" si="1"/>
        <v>108</v>
      </c>
      <c r="F11" s="5">
        <v>200</v>
      </c>
      <c r="G11" s="7">
        <f t="shared" si="2"/>
        <v>697.88000000000011</v>
      </c>
      <c r="I11" s="17">
        <v>46000</v>
      </c>
      <c r="J11">
        <v>916.58</v>
      </c>
    </row>
    <row r="12" spans="1:15" x14ac:dyDescent="0.2">
      <c r="A12" s="4">
        <v>46001</v>
      </c>
      <c r="B12" s="5">
        <v>2654</v>
      </c>
      <c r="C12" s="6">
        <f t="shared" si="0"/>
        <v>716.57999999999993</v>
      </c>
      <c r="D12" s="5"/>
      <c r="E12" s="6">
        <f t="shared" si="1"/>
        <v>0</v>
      </c>
      <c r="F12" s="5">
        <v>200</v>
      </c>
      <c r="G12" s="7">
        <f t="shared" si="2"/>
        <v>916.57999999999993</v>
      </c>
      <c r="H12">
        <v>500</v>
      </c>
      <c r="I12" s="17">
        <v>46001</v>
      </c>
      <c r="J12">
        <v>916.85</v>
      </c>
    </row>
    <row r="13" spans="1:15" x14ac:dyDescent="0.2">
      <c r="A13" s="4">
        <v>46002</v>
      </c>
      <c r="B13" s="5">
        <v>2655</v>
      </c>
      <c r="C13" s="6">
        <f t="shared" si="0"/>
        <v>716.85</v>
      </c>
      <c r="D13" s="5"/>
      <c r="E13" s="6">
        <f t="shared" si="1"/>
        <v>0</v>
      </c>
      <c r="F13" s="5">
        <v>200</v>
      </c>
      <c r="G13" s="7">
        <f t="shared" si="2"/>
        <v>916.85</v>
      </c>
      <c r="I13" s="17">
        <v>46002</v>
      </c>
      <c r="J13">
        <v>1203</v>
      </c>
      <c r="K13" t="s">
        <v>14</v>
      </c>
      <c r="L13" t="s">
        <v>79</v>
      </c>
      <c r="M13" t="s">
        <v>8</v>
      </c>
      <c r="N13" t="s">
        <v>81</v>
      </c>
    </row>
    <row r="14" spans="1:15" x14ac:dyDescent="0.2">
      <c r="A14" s="10">
        <v>46003</v>
      </c>
      <c r="B14" s="11">
        <v>3715</v>
      </c>
      <c r="C14" s="11">
        <f t="shared" si="0"/>
        <v>1003.05</v>
      </c>
      <c r="D14" s="11"/>
      <c r="E14" s="11">
        <f t="shared" si="1"/>
        <v>0</v>
      </c>
      <c r="F14" s="11">
        <v>200</v>
      </c>
      <c r="G14" s="11">
        <f t="shared" si="2"/>
        <v>1203.05</v>
      </c>
      <c r="H14" s="9"/>
      <c r="I14" s="17">
        <v>46003</v>
      </c>
      <c r="J14" s="9">
        <f>SUM(J7:J13)</f>
        <v>6159.2400000000007</v>
      </c>
      <c r="K14">
        <v>1100</v>
      </c>
      <c r="L14">
        <v>75</v>
      </c>
      <c r="M14">
        <v>1000</v>
      </c>
      <c r="N14" s="9">
        <v>3984</v>
      </c>
      <c r="O14" t="s">
        <v>83</v>
      </c>
    </row>
    <row r="15" spans="1:15" x14ac:dyDescent="0.2">
      <c r="A15" s="4">
        <v>46004</v>
      </c>
      <c r="B15" s="5">
        <v>2580</v>
      </c>
      <c r="C15" s="6">
        <f t="shared" si="0"/>
        <v>696.6</v>
      </c>
      <c r="D15" s="5"/>
      <c r="E15" s="6">
        <f t="shared" si="1"/>
        <v>0</v>
      </c>
      <c r="F15" s="5">
        <v>200</v>
      </c>
      <c r="G15" s="7">
        <f t="shared" si="2"/>
        <v>896.6</v>
      </c>
      <c r="I15" s="17">
        <v>46004</v>
      </c>
      <c r="J15">
        <v>896</v>
      </c>
    </row>
    <row r="16" spans="1:15" x14ac:dyDescent="0.2">
      <c r="A16" s="4">
        <v>46005</v>
      </c>
      <c r="B16" s="5">
        <v>2160</v>
      </c>
      <c r="C16" s="6">
        <f t="shared" si="0"/>
        <v>583.19999999999993</v>
      </c>
      <c r="D16" s="5"/>
      <c r="E16" s="6">
        <f t="shared" si="1"/>
        <v>0</v>
      </c>
      <c r="F16" s="5">
        <v>200</v>
      </c>
      <c r="G16" s="7">
        <f t="shared" si="2"/>
        <v>783.19999999999993</v>
      </c>
      <c r="H16">
        <v>300</v>
      </c>
      <c r="I16" s="17">
        <v>46005</v>
      </c>
      <c r="J16">
        <v>783</v>
      </c>
    </row>
    <row r="17" spans="1:14" x14ac:dyDescent="0.2">
      <c r="A17" s="4">
        <v>46006</v>
      </c>
      <c r="B17" s="5">
        <v>1290</v>
      </c>
      <c r="C17" s="6">
        <f t="shared" si="0"/>
        <v>348.3</v>
      </c>
      <c r="D17" s="5"/>
      <c r="E17" s="6">
        <f t="shared" si="1"/>
        <v>0</v>
      </c>
      <c r="F17" s="5">
        <v>200</v>
      </c>
      <c r="G17" s="7">
        <f t="shared" si="2"/>
        <v>548.29999999999995</v>
      </c>
      <c r="H17">
        <v>300</v>
      </c>
      <c r="I17" s="17">
        <v>46006</v>
      </c>
      <c r="J17">
        <v>548</v>
      </c>
    </row>
    <row r="18" spans="1:14" x14ac:dyDescent="0.2">
      <c r="A18" s="4">
        <v>46007</v>
      </c>
      <c r="B18" s="5">
        <v>2635</v>
      </c>
      <c r="C18" s="6">
        <f t="shared" si="0"/>
        <v>711.44999999999993</v>
      </c>
      <c r="D18" s="5"/>
      <c r="E18" s="6">
        <f t="shared" si="1"/>
        <v>0</v>
      </c>
      <c r="F18" s="5">
        <v>200</v>
      </c>
      <c r="G18" s="7">
        <f t="shared" si="2"/>
        <v>911.44999999999993</v>
      </c>
      <c r="I18" s="17">
        <v>46007</v>
      </c>
      <c r="J18">
        <v>911</v>
      </c>
    </row>
    <row r="19" spans="1:14" x14ac:dyDescent="0.2">
      <c r="A19" s="4">
        <v>46008</v>
      </c>
      <c r="B19" s="5">
        <v>3265</v>
      </c>
      <c r="C19" s="6">
        <f t="shared" si="0"/>
        <v>881.55</v>
      </c>
      <c r="D19" s="5"/>
      <c r="E19" s="6">
        <f t="shared" si="1"/>
        <v>0</v>
      </c>
      <c r="F19" s="5">
        <v>200</v>
      </c>
      <c r="G19" s="7">
        <f t="shared" si="2"/>
        <v>1081.55</v>
      </c>
      <c r="I19" s="17">
        <v>46008</v>
      </c>
      <c r="J19">
        <v>1081</v>
      </c>
    </row>
    <row r="20" spans="1:14" x14ac:dyDescent="0.2">
      <c r="A20" s="4">
        <v>46009</v>
      </c>
      <c r="B20" s="5">
        <v>2695</v>
      </c>
      <c r="C20" s="6">
        <f t="shared" si="0"/>
        <v>727.65</v>
      </c>
      <c r="D20" s="5"/>
      <c r="E20" s="6">
        <f t="shared" si="1"/>
        <v>0</v>
      </c>
      <c r="F20" s="5">
        <v>200</v>
      </c>
      <c r="G20" s="7">
        <f t="shared" si="2"/>
        <v>927.65</v>
      </c>
      <c r="I20" s="17">
        <v>46009</v>
      </c>
      <c r="J20">
        <v>927</v>
      </c>
    </row>
    <row r="21" spans="1:14" x14ac:dyDescent="0.2">
      <c r="A21" s="10">
        <v>46010</v>
      </c>
      <c r="B21" s="11">
        <v>1973</v>
      </c>
      <c r="C21" s="11">
        <f t="shared" si="0"/>
        <v>532.71</v>
      </c>
      <c r="D21" s="11"/>
      <c r="E21" s="11">
        <f t="shared" si="1"/>
        <v>0</v>
      </c>
      <c r="F21" s="11">
        <v>200</v>
      </c>
      <c r="G21" s="11">
        <f t="shared" si="2"/>
        <v>732.71</v>
      </c>
      <c r="I21" s="17">
        <v>46010</v>
      </c>
      <c r="J21">
        <v>732</v>
      </c>
      <c r="K21" t="s">
        <v>14</v>
      </c>
      <c r="L21" t="s">
        <v>79</v>
      </c>
      <c r="M21" t="s">
        <v>8</v>
      </c>
      <c r="N21" t="s">
        <v>81</v>
      </c>
    </row>
    <row r="22" spans="1:14" x14ac:dyDescent="0.2">
      <c r="A22" s="4">
        <v>46011</v>
      </c>
      <c r="B22" s="5">
        <v>2574</v>
      </c>
      <c r="C22" s="6">
        <f t="shared" si="0"/>
        <v>694.9799999999999</v>
      </c>
      <c r="D22" s="5"/>
      <c r="E22" s="6">
        <f t="shared" si="1"/>
        <v>0</v>
      </c>
      <c r="F22" s="5">
        <v>200</v>
      </c>
      <c r="G22" s="7">
        <f t="shared" si="2"/>
        <v>894.9799999999999</v>
      </c>
      <c r="J22" s="9">
        <f>SUM(J15:J21)</f>
        <v>5878</v>
      </c>
      <c r="K22">
        <v>600</v>
      </c>
      <c r="L22">
        <v>75</v>
      </c>
      <c r="M22">
        <v>1000</v>
      </c>
      <c r="N22" s="9">
        <v>4203</v>
      </c>
    </row>
    <row r="23" spans="1:14" x14ac:dyDescent="0.2">
      <c r="A23" s="4">
        <v>46012</v>
      </c>
      <c r="B23" s="5">
        <v>3395</v>
      </c>
      <c r="C23" s="6">
        <f t="shared" si="0"/>
        <v>916.65</v>
      </c>
      <c r="D23" s="5"/>
      <c r="E23" s="6">
        <f t="shared" si="1"/>
        <v>0</v>
      </c>
      <c r="F23" s="5">
        <v>200</v>
      </c>
      <c r="G23" s="7">
        <f t="shared" si="2"/>
        <v>1116.6500000000001</v>
      </c>
      <c r="I23" s="17">
        <v>46011</v>
      </c>
      <c r="J23">
        <v>894</v>
      </c>
    </row>
    <row r="24" spans="1:14" x14ac:dyDescent="0.2">
      <c r="A24" s="4">
        <v>46013</v>
      </c>
      <c r="B24" s="5">
        <v>4267</v>
      </c>
      <c r="C24" s="6">
        <f t="shared" si="0"/>
        <v>1152.0899999999999</v>
      </c>
      <c r="D24" s="5"/>
      <c r="E24" s="6">
        <f t="shared" si="1"/>
        <v>0</v>
      </c>
      <c r="F24" s="5">
        <v>200</v>
      </c>
      <c r="G24" s="7">
        <f t="shared" si="2"/>
        <v>1352.09</v>
      </c>
      <c r="I24" s="17">
        <v>46012</v>
      </c>
      <c r="J24">
        <v>1116</v>
      </c>
    </row>
    <row r="25" spans="1:14" x14ac:dyDescent="0.2">
      <c r="A25" s="4">
        <v>46014</v>
      </c>
      <c r="B25" s="5">
        <v>3410</v>
      </c>
      <c r="C25" s="6">
        <f t="shared" si="0"/>
        <v>920.69999999999993</v>
      </c>
      <c r="D25" s="5"/>
      <c r="E25" s="6">
        <f t="shared" si="1"/>
        <v>0</v>
      </c>
      <c r="F25" s="5">
        <v>200</v>
      </c>
      <c r="G25" s="7">
        <f t="shared" si="2"/>
        <v>1120.6999999999998</v>
      </c>
      <c r="I25" s="17">
        <v>46013</v>
      </c>
      <c r="J25">
        <v>1352</v>
      </c>
    </row>
    <row r="26" spans="1:14" x14ac:dyDescent="0.2">
      <c r="A26" s="4">
        <v>46015</v>
      </c>
      <c r="B26" s="5">
        <v>2660</v>
      </c>
      <c r="C26" s="6">
        <f t="shared" si="0"/>
        <v>718.19999999999993</v>
      </c>
      <c r="D26" s="5"/>
      <c r="E26" s="6">
        <f t="shared" si="1"/>
        <v>0</v>
      </c>
      <c r="F26" s="5">
        <v>200</v>
      </c>
      <c r="G26" s="7">
        <f t="shared" si="2"/>
        <v>918.19999999999993</v>
      </c>
      <c r="I26" s="17">
        <v>46014</v>
      </c>
      <c r="J26">
        <v>1120</v>
      </c>
    </row>
    <row r="27" spans="1:14" x14ac:dyDescent="0.2">
      <c r="A27" s="4">
        <v>46016</v>
      </c>
      <c r="B27" s="5">
        <v>2320</v>
      </c>
      <c r="C27" s="6">
        <f t="shared" si="0"/>
        <v>626.4</v>
      </c>
      <c r="D27" s="5"/>
      <c r="E27" s="6">
        <f t="shared" si="1"/>
        <v>0</v>
      </c>
      <c r="F27" s="5">
        <v>200</v>
      </c>
      <c r="G27" s="7">
        <f t="shared" si="2"/>
        <v>826.4</v>
      </c>
      <c r="I27" s="17">
        <v>46015</v>
      </c>
      <c r="J27">
        <v>918</v>
      </c>
    </row>
    <row r="28" spans="1:14" x14ac:dyDescent="0.2">
      <c r="A28" s="10">
        <v>46017</v>
      </c>
      <c r="B28" s="11">
        <v>3049</v>
      </c>
      <c r="C28" s="11">
        <f t="shared" si="0"/>
        <v>823.2299999999999</v>
      </c>
      <c r="D28" s="11"/>
      <c r="E28" s="11">
        <f t="shared" si="1"/>
        <v>0</v>
      </c>
      <c r="F28" s="11">
        <v>200</v>
      </c>
      <c r="G28" s="11">
        <f t="shared" si="2"/>
        <v>1023.2299999999999</v>
      </c>
      <c r="I28" s="17">
        <v>46016</v>
      </c>
      <c r="J28">
        <v>826</v>
      </c>
      <c r="K28" t="s">
        <v>154</v>
      </c>
    </row>
    <row r="29" spans="1:14" x14ac:dyDescent="0.2">
      <c r="A29" s="4">
        <v>46018</v>
      </c>
      <c r="B29" s="5"/>
      <c r="C29" s="6">
        <f t="shared" si="0"/>
        <v>0</v>
      </c>
      <c r="D29" s="5"/>
      <c r="E29" s="6">
        <f t="shared" si="1"/>
        <v>0</v>
      </c>
      <c r="F29" s="5"/>
      <c r="G29" s="7">
        <f t="shared" si="2"/>
        <v>0</v>
      </c>
      <c r="I29" s="17">
        <v>46017</v>
      </c>
      <c r="J29">
        <v>1023</v>
      </c>
      <c r="K29" t="s">
        <v>153</v>
      </c>
      <c r="L29" t="s">
        <v>121</v>
      </c>
    </row>
    <row r="30" spans="1:14" x14ac:dyDescent="0.2">
      <c r="A30" s="4">
        <v>46019</v>
      </c>
      <c r="B30" s="5"/>
      <c r="C30" s="6">
        <f t="shared" si="0"/>
        <v>0</v>
      </c>
      <c r="D30" s="5"/>
      <c r="E30" s="6">
        <f t="shared" si="1"/>
        <v>0</v>
      </c>
      <c r="F30" s="5"/>
      <c r="G30" s="7">
        <f t="shared" si="2"/>
        <v>0</v>
      </c>
      <c r="J30" s="9">
        <f>SUM(J23:J29)</f>
        <v>7249</v>
      </c>
      <c r="L30" s="8">
        <v>6174</v>
      </c>
    </row>
    <row r="31" spans="1:14" x14ac:dyDescent="0.2">
      <c r="A31" s="4">
        <v>46020</v>
      </c>
      <c r="B31" s="5"/>
      <c r="C31" s="6">
        <f t="shared" si="0"/>
        <v>0</v>
      </c>
      <c r="D31" s="5"/>
      <c r="E31" s="6">
        <f t="shared" si="1"/>
        <v>0</v>
      </c>
      <c r="F31" s="5"/>
      <c r="G31" s="7">
        <f t="shared" si="2"/>
        <v>0</v>
      </c>
    </row>
    <row r="32" spans="1:14" x14ac:dyDescent="0.2">
      <c r="A32" s="4">
        <v>46021</v>
      </c>
      <c r="B32" s="5"/>
      <c r="C32" s="6">
        <f t="shared" si="0"/>
        <v>0</v>
      </c>
      <c r="D32" s="5"/>
      <c r="E32" s="6">
        <f t="shared" si="1"/>
        <v>0</v>
      </c>
      <c r="F32" s="5"/>
      <c r="G32" s="7">
        <f t="shared" si="2"/>
        <v>0</v>
      </c>
    </row>
    <row r="33" spans="1:7" x14ac:dyDescent="0.2">
      <c r="A33" s="4">
        <v>46022</v>
      </c>
      <c r="B33" s="5"/>
      <c r="C33" s="6">
        <f t="shared" si="0"/>
        <v>0</v>
      </c>
      <c r="D33" s="5"/>
      <c r="E33" s="6">
        <f t="shared" si="1"/>
        <v>0</v>
      </c>
      <c r="F33" s="5"/>
      <c r="G33" s="7">
        <f t="shared" si="2"/>
        <v>0</v>
      </c>
    </row>
    <row r="34" spans="1:7" x14ac:dyDescent="0.2">
      <c r="A34" s="5" t="s">
        <v>6</v>
      </c>
      <c r="B34" s="5"/>
      <c r="C34" s="5"/>
      <c r="D34" s="5"/>
      <c r="E34" s="5"/>
      <c r="F34" s="5"/>
      <c r="G34" s="5"/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6A094-3E2E-AC44-8AB9-124C97A11197}">
  <dimension ref="A1:N34"/>
  <sheetViews>
    <sheetView topLeftCell="C16" zoomScale="182" zoomScaleNormal="132" workbookViewId="0">
      <selection activeCell="K31" sqref="K31"/>
    </sheetView>
  </sheetViews>
  <sheetFormatPr baseColWidth="10" defaultRowHeight="16" x14ac:dyDescent="0.2"/>
  <sheetData>
    <row r="1" spans="1:14" x14ac:dyDescent="0.2">
      <c r="A1" t="s">
        <v>27</v>
      </c>
    </row>
    <row r="2" spans="1:14" ht="34" x14ac:dyDescent="0.2">
      <c r="A2" s="1" t="s">
        <v>0</v>
      </c>
      <c r="B2" s="1" t="s">
        <v>1</v>
      </c>
      <c r="C2" s="2" t="s">
        <v>2</v>
      </c>
      <c r="D2" s="1" t="s">
        <v>3</v>
      </c>
      <c r="E2" s="2" t="s">
        <v>2</v>
      </c>
      <c r="F2" s="1" t="s">
        <v>4</v>
      </c>
      <c r="G2" s="3" t="s">
        <v>5</v>
      </c>
      <c r="H2" t="s">
        <v>37</v>
      </c>
      <c r="I2" t="s">
        <v>22</v>
      </c>
      <c r="J2" t="s">
        <v>23</v>
      </c>
      <c r="K2" s="12" t="s">
        <v>21</v>
      </c>
      <c r="L2" t="s">
        <v>14</v>
      </c>
      <c r="M2" t="s">
        <v>69</v>
      </c>
    </row>
    <row r="3" spans="1:14" x14ac:dyDescent="0.2">
      <c r="A3" s="4">
        <v>45992</v>
      </c>
      <c r="B3" s="5"/>
      <c r="C3" s="6">
        <f>(B3*0.9*0.3)</f>
        <v>0</v>
      </c>
      <c r="D3" s="5"/>
      <c r="E3" s="6">
        <f>(D3*0.8*0.15)</f>
        <v>0</v>
      </c>
      <c r="F3" s="5"/>
      <c r="G3" s="7">
        <f>(C3+E3+F3)</f>
        <v>0</v>
      </c>
      <c r="H3">
        <v>400</v>
      </c>
      <c r="I3" t="s">
        <v>43</v>
      </c>
      <c r="J3" s="12">
        <v>546</v>
      </c>
      <c r="K3" s="12"/>
      <c r="L3" s="17"/>
    </row>
    <row r="4" spans="1:14" x14ac:dyDescent="0.2">
      <c r="A4" s="4">
        <v>45993</v>
      </c>
      <c r="B4" s="5">
        <v>2235</v>
      </c>
      <c r="C4" s="6">
        <f t="shared" ref="C4:C33" si="0">(B4*0.9*0.3)</f>
        <v>603.44999999999993</v>
      </c>
      <c r="D4" s="5"/>
      <c r="E4" s="6">
        <f t="shared" ref="E4:E33" si="1">(D4*0.8*0.15)</f>
        <v>0</v>
      </c>
      <c r="F4" s="5">
        <v>200</v>
      </c>
      <c r="G4" s="7">
        <f t="shared" ref="G4:G33" si="2">(C4+E4+F4)</f>
        <v>803.44999999999993</v>
      </c>
      <c r="H4">
        <v>200</v>
      </c>
      <c r="I4" s="17">
        <v>45991</v>
      </c>
      <c r="J4">
        <v>727</v>
      </c>
    </row>
    <row r="5" spans="1:14" x14ac:dyDescent="0.2">
      <c r="A5" s="4">
        <v>45994</v>
      </c>
      <c r="B5" s="5">
        <v>2109</v>
      </c>
      <c r="C5" s="6">
        <f t="shared" si="0"/>
        <v>569.43000000000006</v>
      </c>
      <c r="D5" s="5"/>
      <c r="E5" s="6">
        <f t="shared" si="1"/>
        <v>0</v>
      </c>
      <c r="F5" s="5">
        <v>200</v>
      </c>
      <c r="G5" s="7">
        <f t="shared" si="2"/>
        <v>769.43000000000006</v>
      </c>
      <c r="I5" t="s">
        <v>59</v>
      </c>
      <c r="J5">
        <v>2241</v>
      </c>
      <c r="K5">
        <v>75</v>
      </c>
      <c r="L5">
        <v>600</v>
      </c>
    </row>
    <row r="6" spans="1:14" x14ac:dyDescent="0.2">
      <c r="A6" s="4">
        <v>45995</v>
      </c>
      <c r="B6" s="5">
        <v>1735</v>
      </c>
      <c r="C6" s="6">
        <f t="shared" si="0"/>
        <v>468.45</v>
      </c>
      <c r="D6" s="5"/>
      <c r="E6" s="6">
        <f t="shared" si="1"/>
        <v>0</v>
      </c>
      <c r="F6" s="5">
        <v>200</v>
      </c>
      <c r="G6" s="7">
        <f t="shared" si="2"/>
        <v>668.45</v>
      </c>
      <c r="J6" s="9">
        <f ca="1">SUM(J3:J6)</f>
        <v>3514</v>
      </c>
      <c r="K6">
        <v>75</v>
      </c>
      <c r="L6">
        <v>600</v>
      </c>
      <c r="M6" s="9">
        <v>2839</v>
      </c>
    </row>
    <row r="7" spans="1:14" x14ac:dyDescent="0.2">
      <c r="A7" s="10">
        <v>45996</v>
      </c>
      <c r="B7" s="11"/>
      <c r="C7" s="11">
        <f t="shared" si="0"/>
        <v>0</v>
      </c>
      <c r="D7" s="11"/>
      <c r="E7" s="11">
        <f t="shared" si="1"/>
        <v>0</v>
      </c>
      <c r="F7" s="11"/>
      <c r="G7" s="11">
        <f t="shared" si="2"/>
        <v>0</v>
      </c>
    </row>
    <row r="8" spans="1:14" x14ac:dyDescent="0.2">
      <c r="A8" s="4">
        <v>45997</v>
      </c>
      <c r="B8" s="5"/>
      <c r="C8" s="6">
        <f t="shared" si="0"/>
        <v>0</v>
      </c>
      <c r="D8" s="5"/>
      <c r="E8" s="6">
        <f t="shared" si="1"/>
        <v>0</v>
      </c>
      <c r="F8" s="5"/>
      <c r="G8" s="7">
        <f t="shared" si="2"/>
        <v>0</v>
      </c>
      <c r="I8" t="s">
        <v>103</v>
      </c>
      <c r="J8">
        <v>816.95</v>
      </c>
    </row>
    <row r="9" spans="1:14" x14ac:dyDescent="0.2">
      <c r="A9" s="4">
        <v>45998</v>
      </c>
      <c r="B9" s="5">
        <v>2285</v>
      </c>
      <c r="C9" s="6">
        <f t="shared" si="0"/>
        <v>616.94999999999993</v>
      </c>
      <c r="D9" s="5"/>
      <c r="E9" s="6">
        <f t="shared" si="1"/>
        <v>0</v>
      </c>
      <c r="F9" s="5">
        <v>200</v>
      </c>
      <c r="G9" s="7">
        <f t="shared" si="2"/>
        <v>816.94999999999993</v>
      </c>
      <c r="H9">
        <v>500</v>
      </c>
      <c r="I9" t="s">
        <v>104</v>
      </c>
      <c r="J9">
        <v>985.7</v>
      </c>
    </row>
    <row r="10" spans="1:14" x14ac:dyDescent="0.2">
      <c r="A10" s="4">
        <v>45999</v>
      </c>
      <c r="B10" s="5">
        <v>2910</v>
      </c>
      <c r="C10" s="6">
        <f t="shared" si="0"/>
        <v>785.69999999999993</v>
      </c>
      <c r="D10" s="5"/>
      <c r="E10" s="6">
        <f t="shared" si="1"/>
        <v>0</v>
      </c>
      <c r="F10" s="5">
        <v>200</v>
      </c>
      <c r="G10" s="7">
        <f t="shared" si="2"/>
        <v>985.69999999999993</v>
      </c>
      <c r="I10" t="s">
        <v>105</v>
      </c>
      <c r="J10">
        <v>505</v>
      </c>
    </row>
    <row r="11" spans="1:14" x14ac:dyDescent="0.2">
      <c r="A11" s="4">
        <v>46000</v>
      </c>
      <c r="B11" s="5">
        <v>1130</v>
      </c>
      <c r="C11" s="6">
        <f t="shared" si="0"/>
        <v>305.09999999999997</v>
      </c>
      <c r="D11" s="5"/>
      <c r="E11" s="6">
        <f t="shared" si="1"/>
        <v>0</v>
      </c>
      <c r="F11" s="5">
        <v>200</v>
      </c>
      <c r="G11" s="7">
        <f t="shared" si="2"/>
        <v>505.09999999999997</v>
      </c>
      <c r="I11" t="s">
        <v>106</v>
      </c>
      <c r="J11">
        <v>654.95000000000005</v>
      </c>
    </row>
    <row r="12" spans="1:14" x14ac:dyDescent="0.2">
      <c r="A12" s="4">
        <v>46001</v>
      </c>
      <c r="B12" s="5">
        <v>1685</v>
      </c>
      <c r="C12" s="6">
        <f t="shared" si="0"/>
        <v>454.95</v>
      </c>
      <c r="D12" s="5"/>
      <c r="E12" s="6">
        <f t="shared" si="1"/>
        <v>0</v>
      </c>
      <c r="F12" s="5">
        <v>200</v>
      </c>
      <c r="G12" s="7">
        <f t="shared" si="2"/>
        <v>654.95000000000005</v>
      </c>
      <c r="H12">
        <v>200</v>
      </c>
      <c r="I12" t="s">
        <v>107</v>
      </c>
      <c r="J12">
        <v>615.79999999999995</v>
      </c>
    </row>
    <row r="13" spans="1:14" x14ac:dyDescent="0.2">
      <c r="A13" s="4">
        <v>46002</v>
      </c>
      <c r="B13" s="5">
        <v>1540</v>
      </c>
      <c r="C13" s="6">
        <f t="shared" si="0"/>
        <v>415.8</v>
      </c>
      <c r="D13" s="5"/>
      <c r="E13" s="6">
        <f t="shared" si="1"/>
        <v>0</v>
      </c>
      <c r="F13" s="5">
        <v>200</v>
      </c>
      <c r="G13" s="7">
        <f t="shared" si="2"/>
        <v>615.79999999999995</v>
      </c>
      <c r="I13" t="s">
        <v>108</v>
      </c>
      <c r="J13">
        <v>737.3</v>
      </c>
      <c r="K13" t="s">
        <v>14</v>
      </c>
      <c r="L13" t="s">
        <v>79</v>
      </c>
      <c r="M13" t="s">
        <v>8</v>
      </c>
      <c r="N13" t="s">
        <v>81</v>
      </c>
    </row>
    <row r="14" spans="1:14" x14ac:dyDescent="0.2">
      <c r="A14" s="10">
        <v>46003</v>
      </c>
      <c r="B14" s="11">
        <v>1990</v>
      </c>
      <c r="C14" s="11">
        <f t="shared" si="0"/>
        <v>537.29999999999995</v>
      </c>
      <c r="D14" s="11"/>
      <c r="E14" s="11">
        <f t="shared" si="1"/>
        <v>0</v>
      </c>
      <c r="F14" s="11">
        <v>200</v>
      </c>
      <c r="G14" s="11">
        <f t="shared" si="2"/>
        <v>737.3</v>
      </c>
      <c r="J14" s="9">
        <f>SUM(J8:J13)</f>
        <v>4315.7000000000007</v>
      </c>
      <c r="K14">
        <v>700</v>
      </c>
      <c r="L14">
        <v>75</v>
      </c>
      <c r="N14" s="9">
        <v>3540</v>
      </c>
    </row>
    <row r="15" spans="1:14" x14ac:dyDescent="0.2">
      <c r="A15" s="4">
        <v>46004</v>
      </c>
      <c r="B15" s="5">
        <v>2565</v>
      </c>
      <c r="C15" s="6">
        <f t="shared" si="0"/>
        <v>692.55</v>
      </c>
      <c r="D15" s="5"/>
      <c r="E15" s="6">
        <f t="shared" si="1"/>
        <v>0</v>
      </c>
      <c r="F15" s="5">
        <v>200</v>
      </c>
      <c r="G15" s="7">
        <f t="shared" si="2"/>
        <v>892.55</v>
      </c>
      <c r="I15" t="s">
        <v>109</v>
      </c>
      <c r="J15">
        <v>892</v>
      </c>
    </row>
    <row r="16" spans="1:14" x14ac:dyDescent="0.2">
      <c r="A16" s="4">
        <v>46005</v>
      </c>
      <c r="B16" s="5">
        <v>1920</v>
      </c>
      <c r="C16" s="6">
        <f t="shared" si="0"/>
        <v>518.4</v>
      </c>
      <c r="D16" s="5"/>
      <c r="E16" s="6">
        <f t="shared" si="1"/>
        <v>0</v>
      </c>
      <c r="F16" s="5">
        <v>200</v>
      </c>
      <c r="G16" s="7">
        <f t="shared" si="2"/>
        <v>718.4</v>
      </c>
      <c r="I16" t="s">
        <v>110</v>
      </c>
      <c r="J16">
        <v>718</v>
      </c>
    </row>
    <row r="17" spans="1:14" x14ac:dyDescent="0.2">
      <c r="A17" s="4">
        <v>46006</v>
      </c>
      <c r="B17" s="5">
        <v>1645</v>
      </c>
      <c r="C17" s="6">
        <f t="shared" si="0"/>
        <v>444.15</v>
      </c>
      <c r="D17" s="5"/>
      <c r="E17" s="6">
        <f t="shared" si="1"/>
        <v>0</v>
      </c>
      <c r="F17" s="5">
        <v>200</v>
      </c>
      <c r="G17" s="7">
        <f t="shared" si="2"/>
        <v>644.15</v>
      </c>
      <c r="I17" t="s">
        <v>111</v>
      </c>
      <c r="J17">
        <v>644</v>
      </c>
    </row>
    <row r="18" spans="1:14" x14ac:dyDescent="0.2">
      <c r="A18" s="4">
        <v>46007</v>
      </c>
      <c r="B18" s="5">
        <v>1974</v>
      </c>
      <c r="C18" s="6">
        <f t="shared" si="0"/>
        <v>532.98</v>
      </c>
      <c r="D18" s="5"/>
      <c r="E18" s="6">
        <f t="shared" si="1"/>
        <v>0</v>
      </c>
      <c r="F18" s="5">
        <v>200</v>
      </c>
      <c r="G18" s="7">
        <f t="shared" si="2"/>
        <v>732.98</v>
      </c>
      <c r="I18" t="s">
        <v>112</v>
      </c>
      <c r="J18">
        <v>732</v>
      </c>
    </row>
    <row r="19" spans="1:14" x14ac:dyDescent="0.2">
      <c r="A19" s="4">
        <v>46008</v>
      </c>
      <c r="B19" s="5">
        <v>2045</v>
      </c>
      <c r="C19" s="6">
        <f t="shared" si="0"/>
        <v>552.15</v>
      </c>
      <c r="D19" s="5"/>
      <c r="E19" s="6">
        <f t="shared" si="1"/>
        <v>0</v>
      </c>
      <c r="F19" s="5">
        <v>200</v>
      </c>
      <c r="G19" s="7">
        <f t="shared" si="2"/>
        <v>752.15</v>
      </c>
      <c r="H19">
        <v>600</v>
      </c>
      <c r="I19" t="s">
        <v>113</v>
      </c>
      <c r="J19">
        <v>752</v>
      </c>
    </row>
    <row r="20" spans="1:14" x14ac:dyDescent="0.2">
      <c r="A20" s="4">
        <v>46009</v>
      </c>
      <c r="B20" s="5"/>
      <c r="C20" s="6">
        <f t="shared" si="0"/>
        <v>0</v>
      </c>
      <c r="D20" s="5"/>
      <c r="E20" s="6">
        <f t="shared" si="1"/>
        <v>0</v>
      </c>
      <c r="F20" s="5"/>
      <c r="G20" s="7">
        <f t="shared" si="2"/>
        <v>0</v>
      </c>
      <c r="I20" t="s">
        <v>114</v>
      </c>
      <c r="J20">
        <v>591</v>
      </c>
      <c r="K20" t="s">
        <v>14</v>
      </c>
      <c r="L20" t="s">
        <v>79</v>
      </c>
      <c r="N20" t="s">
        <v>81</v>
      </c>
    </row>
    <row r="21" spans="1:14" x14ac:dyDescent="0.2">
      <c r="A21" s="10">
        <v>46010</v>
      </c>
      <c r="B21" s="11">
        <v>1450</v>
      </c>
      <c r="C21" s="11">
        <f t="shared" si="0"/>
        <v>391.5</v>
      </c>
      <c r="D21" s="11"/>
      <c r="E21" s="11">
        <f t="shared" si="1"/>
        <v>0</v>
      </c>
      <c r="F21" s="11">
        <v>200</v>
      </c>
      <c r="G21" s="11">
        <f t="shared" si="2"/>
        <v>591.5</v>
      </c>
      <c r="J21" s="9">
        <f>SUM(J15:J20)</f>
        <v>4329</v>
      </c>
      <c r="K21">
        <v>600</v>
      </c>
      <c r="L21">
        <v>75</v>
      </c>
      <c r="N21" s="9">
        <v>3654</v>
      </c>
    </row>
    <row r="22" spans="1:14" x14ac:dyDescent="0.2">
      <c r="A22" s="4">
        <v>46011</v>
      </c>
      <c r="B22" s="5">
        <v>3080</v>
      </c>
      <c r="C22" s="6">
        <f t="shared" si="0"/>
        <v>831.6</v>
      </c>
      <c r="D22" s="5"/>
      <c r="E22" s="6">
        <f t="shared" si="1"/>
        <v>0</v>
      </c>
      <c r="F22" s="5">
        <v>200</v>
      </c>
      <c r="G22" s="7">
        <f t="shared" si="2"/>
        <v>1031.5999999999999</v>
      </c>
      <c r="I22" s="17">
        <v>46011</v>
      </c>
      <c r="J22">
        <v>1031</v>
      </c>
    </row>
    <row r="23" spans="1:14" x14ac:dyDescent="0.2">
      <c r="A23" s="4">
        <v>46012</v>
      </c>
      <c r="B23" s="5">
        <v>2465</v>
      </c>
      <c r="C23" s="6">
        <f t="shared" si="0"/>
        <v>665.55</v>
      </c>
      <c r="D23" s="5"/>
      <c r="E23" s="6">
        <f t="shared" si="1"/>
        <v>0</v>
      </c>
      <c r="F23" s="5">
        <v>200</v>
      </c>
      <c r="G23" s="7">
        <f t="shared" si="2"/>
        <v>865.55</v>
      </c>
      <c r="I23" s="17">
        <v>46012</v>
      </c>
      <c r="J23">
        <v>865</v>
      </c>
    </row>
    <row r="24" spans="1:14" x14ac:dyDescent="0.2">
      <c r="A24" s="4">
        <v>46013</v>
      </c>
      <c r="B24" s="5">
        <v>2439</v>
      </c>
      <c r="C24" s="6">
        <f t="shared" si="0"/>
        <v>658.53</v>
      </c>
      <c r="D24" s="5"/>
      <c r="E24" s="6">
        <f t="shared" si="1"/>
        <v>0</v>
      </c>
      <c r="F24" s="5">
        <v>200</v>
      </c>
      <c r="G24" s="7">
        <f t="shared" si="2"/>
        <v>858.53</v>
      </c>
      <c r="I24" s="17">
        <v>46013</v>
      </c>
      <c r="J24">
        <v>858</v>
      </c>
    </row>
    <row r="25" spans="1:14" x14ac:dyDescent="0.2">
      <c r="A25" s="4">
        <v>46014</v>
      </c>
      <c r="B25" s="5">
        <v>1540</v>
      </c>
      <c r="C25" s="6">
        <f t="shared" si="0"/>
        <v>415.8</v>
      </c>
      <c r="D25" s="5"/>
      <c r="E25" s="6">
        <f t="shared" si="1"/>
        <v>0</v>
      </c>
      <c r="F25" s="5">
        <v>200</v>
      </c>
      <c r="G25" s="7">
        <f t="shared" si="2"/>
        <v>615.79999999999995</v>
      </c>
      <c r="I25" s="17">
        <v>46014</v>
      </c>
      <c r="J25">
        <v>615</v>
      </c>
    </row>
    <row r="26" spans="1:14" x14ac:dyDescent="0.2">
      <c r="A26" s="4">
        <v>46015</v>
      </c>
      <c r="B26" s="5">
        <v>2252</v>
      </c>
      <c r="C26" s="6">
        <f t="shared" si="0"/>
        <v>608.04</v>
      </c>
      <c r="D26" s="5"/>
      <c r="E26" s="6">
        <f t="shared" si="1"/>
        <v>0</v>
      </c>
      <c r="F26" s="5">
        <v>200</v>
      </c>
      <c r="G26" s="7">
        <f t="shared" si="2"/>
        <v>808.04</v>
      </c>
      <c r="I26" s="17">
        <v>46015</v>
      </c>
      <c r="J26">
        <v>808</v>
      </c>
    </row>
    <row r="27" spans="1:14" x14ac:dyDescent="0.2">
      <c r="A27" s="4">
        <v>46016</v>
      </c>
      <c r="B27" s="5">
        <v>1950</v>
      </c>
      <c r="C27" s="6">
        <f t="shared" si="0"/>
        <v>526.5</v>
      </c>
      <c r="D27" s="5"/>
      <c r="E27" s="6">
        <f t="shared" si="1"/>
        <v>0</v>
      </c>
      <c r="F27" s="5">
        <v>200</v>
      </c>
      <c r="G27" s="7">
        <f t="shared" si="2"/>
        <v>726.5</v>
      </c>
      <c r="I27" s="17">
        <v>46016</v>
      </c>
      <c r="J27">
        <v>726</v>
      </c>
    </row>
    <row r="28" spans="1:14" x14ac:dyDescent="0.2">
      <c r="A28" s="10">
        <v>46017</v>
      </c>
      <c r="B28" s="11">
        <v>3487</v>
      </c>
      <c r="C28" s="11">
        <f t="shared" si="0"/>
        <v>941.49</v>
      </c>
      <c r="D28" s="11"/>
      <c r="E28" s="11">
        <f t="shared" si="1"/>
        <v>0</v>
      </c>
      <c r="F28" s="11">
        <v>200</v>
      </c>
      <c r="G28" s="11">
        <f t="shared" si="2"/>
        <v>1141.49</v>
      </c>
      <c r="I28" s="17">
        <v>46017</v>
      </c>
      <c r="J28">
        <v>1141</v>
      </c>
      <c r="K28" t="s">
        <v>153</v>
      </c>
      <c r="L28" t="s">
        <v>81</v>
      </c>
    </row>
    <row r="29" spans="1:14" x14ac:dyDescent="0.2">
      <c r="A29" s="4">
        <v>46018</v>
      </c>
      <c r="B29" s="5"/>
      <c r="C29" s="6">
        <f t="shared" si="0"/>
        <v>0</v>
      </c>
      <c r="D29" s="5"/>
      <c r="E29" s="6">
        <f t="shared" si="1"/>
        <v>0</v>
      </c>
      <c r="F29" s="5"/>
      <c r="G29" s="7">
        <f t="shared" si="2"/>
        <v>0</v>
      </c>
      <c r="J29" s="9">
        <f>SUM(J22:J28)</f>
        <v>6044</v>
      </c>
      <c r="L29" s="8">
        <v>5969</v>
      </c>
    </row>
    <row r="30" spans="1:14" x14ac:dyDescent="0.2">
      <c r="A30" s="4">
        <v>46019</v>
      </c>
      <c r="B30" s="5"/>
      <c r="C30" s="6">
        <f t="shared" si="0"/>
        <v>0</v>
      </c>
      <c r="D30" s="5"/>
      <c r="E30" s="6">
        <f t="shared" si="1"/>
        <v>0</v>
      </c>
      <c r="F30" s="5"/>
      <c r="G30" s="7">
        <f t="shared" si="2"/>
        <v>0</v>
      </c>
    </row>
    <row r="31" spans="1:14" x14ac:dyDescent="0.2">
      <c r="A31" s="4">
        <v>46020</v>
      </c>
      <c r="B31" s="5"/>
      <c r="C31" s="6">
        <f t="shared" si="0"/>
        <v>0</v>
      </c>
      <c r="D31" s="5"/>
      <c r="E31" s="6">
        <f t="shared" si="1"/>
        <v>0</v>
      </c>
      <c r="F31" s="5"/>
      <c r="G31" s="7">
        <f t="shared" si="2"/>
        <v>0</v>
      </c>
    </row>
    <row r="32" spans="1:14" x14ac:dyDescent="0.2">
      <c r="A32" s="4">
        <v>46021</v>
      </c>
      <c r="B32" s="5"/>
      <c r="C32" s="6">
        <f t="shared" si="0"/>
        <v>0</v>
      </c>
      <c r="D32" s="5"/>
      <c r="E32" s="6">
        <f t="shared" si="1"/>
        <v>0</v>
      </c>
      <c r="F32" s="5"/>
      <c r="G32" s="7">
        <f t="shared" si="2"/>
        <v>0</v>
      </c>
    </row>
    <row r="33" spans="1:7" x14ac:dyDescent="0.2">
      <c r="A33" s="4">
        <v>46022</v>
      </c>
      <c r="B33" s="5"/>
      <c r="C33" s="6">
        <f t="shared" si="0"/>
        <v>0</v>
      </c>
      <c r="D33" s="5"/>
      <c r="E33" s="6">
        <f t="shared" si="1"/>
        <v>0</v>
      </c>
      <c r="F33" s="5"/>
      <c r="G33" s="7">
        <f t="shared" si="2"/>
        <v>0</v>
      </c>
    </row>
    <row r="34" spans="1:7" x14ac:dyDescent="0.2">
      <c r="A34" s="5" t="s">
        <v>6</v>
      </c>
      <c r="B34" s="5"/>
      <c r="C34" s="5"/>
      <c r="D34" s="5"/>
      <c r="E34" s="5"/>
      <c r="F34" s="5"/>
      <c r="G34" s="5"/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42F05-7932-F94D-A0EC-C8D128704AD5}">
  <dimension ref="A1:P45"/>
  <sheetViews>
    <sheetView topLeftCell="B14" zoomScale="133" zoomScaleNormal="86" workbookViewId="0">
      <selection activeCell="K34" sqref="K34"/>
    </sheetView>
  </sheetViews>
  <sheetFormatPr baseColWidth="10" defaultRowHeight="16" x14ac:dyDescent="0.2"/>
  <sheetData>
    <row r="1" spans="1:15" x14ac:dyDescent="0.2">
      <c r="A1" s="18" t="s">
        <v>28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5" ht="34" x14ac:dyDescent="0.2">
      <c r="A2" s="21" t="s">
        <v>0</v>
      </c>
      <c r="B2" s="22" t="s">
        <v>1</v>
      </c>
      <c r="C2" s="23" t="s">
        <v>2</v>
      </c>
      <c r="D2" s="22" t="s">
        <v>3</v>
      </c>
      <c r="E2" s="23" t="s">
        <v>2</v>
      </c>
      <c r="F2" s="22" t="s">
        <v>4</v>
      </c>
      <c r="G2" s="24" t="s">
        <v>5</v>
      </c>
      <c r="H2" s="18" t="s">
        <v>14</v>
      </c>
      <c r="I2" s="18" t="s">
        <v>22</v>
      </c>
      <c r="J2" s="18" t="s">
        <v>23</v>
      </c>
      <c r="K2" s="19" t="s">
        <v>21</v>
      </c>
      <c r="L2" s="19" t="s">
        <v>37</v>
      </c>
      <c r="M2" s="19" t="s">
        <v>8</v>
      </c>
      <c r="N2" s="18" t="s">
        <v>24</v>
      </c>
    </row>
    <row r="3" spans="1:15" x14ac:dyDescent="0.2">
      <c r="A3" s="25">
        <v>45992</v>
      </c>
      <c r="B3" s="26"/>
      <c r="C3" s="6">
        <f>(B3*0.9*0.3)</f>
        <v>0</v>
      </c>
      <c r="D3" s="26"/>
      <c r="E3" s="6">
        <f>(D3*0.8*0.2)</f>
        <v>0</v>
      </c>
      <c r="F3" s="26"/>
      <c r="G3" s="7">
        <f>(C3+E3+F3)</f>
        <v>0</v>
      </c>
      <c r="H3" s="18"/>
      <c r="I3" s="18" t="s">
        <v>43</v>
      </c>
      <c r="J3" s="19">
        <v>703</v>
      </c>
      <c r="K3" s="19"/>
      <c r="L3" s="19"/>
      <c r="M3" s="19"/>
      <c r="N3" s="20"/>
    </row>
    <row r="4" spans="1:15" x14ac:dyDescent="0.2">
      <c r="A4" s="25">
        <v>45993</v>
      </c>
      <c r="B4" s="26">
        <v>610</v>
      </c>
      <c r="C4" s="6">
        <f t="shared" ref="C4:C33" si="0">(B4*0.9*0.3)</f>
        <v>164.7</v>
      </c>
      <c r="D4" s="26"/>
      <c r="E4" s="6">
        <f t="shared" ref="E4:E33" si="1">(D4*0.8*0.2)</f>
        <v>0</v>
      </c>
      <c r="F4" s="26">
        <v>250</v>
      </c>
      <c r="G4" s="7">
        <f t="shared" ref="G4:G33" si="2">(C4+E4+F4)</f>
        <v>414.7</v>
      </c>
      <c r="H4" s="18">
        <v>300</v>
      </c>
      <c r="I4" s="18" t="s">
        <v>64</v>
      </c>
      <c r="J4" s="18">
        <v>680</v>
      </c>
      <c r="K4" s="18"/>
      <c r="L4" s="18"/>
      <c r="M4" s="18" t="s">
        <v>65</v>
      </c>
      <c r="N4" s="18"/>
    </row>
    <row r="5" spans="1:15" x14ac:dyDescent="0.2">
      <c r="A5" s="25">
        <v>45994</v>
      </c>
      <c r="B5" s="26">
        <v>133</v>
      </c>
      <c r="C5" s="6">
        <f t="shared" si="0"/>
        <v>35.909999999999997</v>
      </c>
      <c r="D5" s="26">
        <v>1440</v>
      </c>
      <c r="E5" s="6">
        <f t="shared" si="1"/>
        <v>230.4</v>
      </c>
      <c r="F5" s="26">
        <v>250</v>
      </c>
      <c r="G5" s="7">
        <f t="shared" si="2"/>
        <v>516.30999999999995</v>
      </c>
      <c r="H5" s="18"/>
      <c r="I5" s="18" t="s">
        <v>45</v>
      </c>
      <c r="J5" s="18">
        <v>2199.14</v>
      </c>
      <c r="K5" s="18"/>
      <c r="L5" s="18"/>
      <c r="M5" s="18"/>
      <c r="N5" s="18"/>
    </row>
    <row r="6" spans="1:15" x14ac:dyDescent="0.2">
      <c r="A6" s="25">
        <v>45995</v>
      </c>
      <c r="B6" s="26"/>
      <c r="C6" s="6">
        <f t="shared" si="0"/>
        <v>0</v>
      </c>
      <c r="D6" s="26"/>
      <c r="E6" s="6">
        <f t="shared" si="1"/>
        <v>0</v>
      </c>
      <c r="F6" s="26"/>
      <c r="G6" s="7">
        <f t="shared" si="2"/>
        <v>0</v>
      </c>
      <c r="H6" s="18">
        <v>500</v>
      </c>
      <c r="I6" s="18"/>
      <c r="J6" s="18">
        <f ca="1">SUM(J3:J6)</f>
        <v>3582.14</v>
      </c>
      <c r="K6" s="18">
        <v>75</v>
      </c>
      <c r="L6" s="18">
        <v>800</v>
      </c>
      <c r="M6" s="18">
        <v>300</v>
      </c>
      <c r="N6" s="18">
        <v>2407</v>
      </c>
      <c r="O6" s="18">
        <v>511</v>
      </c>
    </row>
    <row r="7" spans="1:15" x14ac:dyDescent="0.2">
      <c r="A7" s="28">
        <v>45996</v>
      </c>
      <c r="B7" s="29">
        <v>479</v>
      </c>
      <c r="C7" s="11">
        <f t="shared" si="0"/>
        <v>129.33000000000001</v>
      </c>
      <c r="D7" s="29">
        <v>5555</v>
      </c>
      <c r="E7" s="11">
        <f t="shared" si="1"/>
        <v>888.80000000000007</v>
      </c>
      <c r="F7" s="29">
        <v>250</v>
      </c>
      <c r="G7" s="11">
        <f t="shared" si="2"/>
        <v>1268.1300000000001</v>
      </c>
    </row>
    <row r="8" spans="1:15" x14ac:dyDescent="0.2">
      <c r="A8" s="25">
        <v>45997</v>
      </c>
      <c r="B8" s="26">
        <v>1403</v>
      </c>
      <c r="C8" s="6">
        <f t="shared" si="0"/>
        <v>378.81</v>
      </c>
      <c r="D8" s="26"/>
      <c r="E8" s="6">
        <f t="shared" si="1"/>
        <v>0</v>
      </c>
      <c r="F8" s="26">
        <v>250</v>
      </c>
      <c r="G8" s="7">
        <f t="shared" si="2"/>
        <v>628.80999999999995</v>
      </c>
      <c r="H8" s="18"/>
      <c r="I8" s="18" t="s">
        <v>102</v>
      </c>
      <c r="J8" s="18">
        <v>628.80999999999995</v>
      </c>
      <c r="K8" s="18"/>
      <c r="L8" s="18"/>
      <c r="M8" s="18"/>
      <c r="N8" s="18"/>
    </row>
    <row r="9" spans="1:15" x14ac:dyDescent="0.2">
      <c r="A9" s="25">
        <v>45998</v>
      </c>
      <c r="B9" s="26">
        <v>1973</v>
      </c>
      <c r="C9" s="6">
        <f t="shared" si="0"/>
        <v>532.71</v>
      </c>
      <c r="D9" s="26">
        <v>395</v>
      </c>
      <c r="E9" s="6">
        <f t="shared" si="1"/>
        <v>63.2</v>
      </c>
      <c r="F9" s="26">
        <v>250</v>
      </c>
      <c r="G9" s="7">
        <f t="shared" si="2"/>
        <v>845.91000000000008</v>
      </c>
      <c r="H9" s="18">
        <v>200</v>
      </c>
      <c r="I9" s="18" t="s">
        <v>103</v>
      </c>
      <c r="J9" s="18">
        <v>845.91</v>
      </c>
      <c r="K9" s="18"/>
      <c r="L9" s="18"/>
      <c r="M9" s="18"/>
      <c r="N9" s="18"/>
    </row>
    <row r="10" spans="1:15" x14ac:dyDescent="0.2">
      <c r="A10" s="25">
        <v>45999</v>
      </c>
      <c r="B10" s="26">
        <v>1783</v>
      </c>
      <c r="C10" s="6">
        <f t="shared" si="0"/>
        <v>481.40999999999997</v>
      </c>
      <c r="D10" s="26">
        <v>1895</v>
      </c>
      <c r="E10" s="6">
        <f t="shared" si="1"/>
        <v>303.2</v>
      </c>
      <c r="F10" s="26">
        <v>250</v>
      </c>
      <c r="G10" s="7">
        <f t="shared" si="2"/>
        <v>1034.6099999999999</v>
      </c>
      <c r="H10" s="18"/>
      <c r="I10" s="18" t="s">
        <v>104</v>
      </c>
      <c r="J10" s="18">
        <v>1034</v>
      </c>
      <c r="K10" s="18"/>
      <c r="L10" s="18"/>
      <c r="M10" s="18"/>
      <c r="N10" s="18"/>
    </row>
    <row r="11" spans="1:15" x14ac:dyDescent="0.2">
      <c r="A11" s="25">
        <v>46000</v>
      </c>
      <c r="B11" s="26"/>
      <c r="C11" s="6">
        <f t="shared" si="0"/>
        <v>0</v>
      </c>
      <c r="D11" s="26"/>
      <c r="E11" s="6">
        <f t="shared" si="1"/>
        <v>0</v>
      </c>
      <c r="F11" s="26"/>
      <c r="G11" s="7">
        <f t="shared" si="2"/>
        <v>0</v>
      </c>
      <c r="H11" s="18"/>
      <c r="I11" s="18" t="s">
        <v>116</v>
      </c>
      <c r="J11" s="18">
        <v>664.45</v>
      </c>
      <c r="K11" s="18"/>
      <c r="L11" s="18"/>
      <c r="M11" s="18"/>
      <c r="N11" s="18"/>
    </row>
    <row r="12" spans="1:15" x14ac:dyDescent="0.2">
      <c r="A12" s="25">
        <v>46001</v>
      </c>
      <c r="B12" s="26"/>
      <c r="C12" s="6">
        <f t="shared" si="0"/>
        <v>0</v>
      </c>
      <c r="D12" s="26"/>
      <c r="E12" s="6">
        <f t="shared" si="1"/>
        <v>0</v>
      </c>
      <c r="F12" s="26"/>
      <c r="G12" s="7">
        <f t="shared" si="2"/>
        <v>0</v>
      </c>
      <c r="H12" s="18" t="s">
        <v>117</v>
      </c>
      <c r="I12" s="18" t="s">
        <v>118</v>
      </c>
      <c r="J12" s="18">
        <v>761</v>
      </c>
      <c r="K12" s="18" t="s">
        <v>14</v>
      </c>
      <c r="L12" s="18" t="s">
        <v>79</v>
      </c>
      <c r="M12" s="18" t="s">
        <v>8</v>
      </c>
      <c r="N12" s="18" t="s">
        <v>82</v>
      </c>
      <c r="O12" s="18" t="s">
        <v>81</v>
      </c>
    </row>
    <row r="13" spans="1:15" x14ac:dyDescent="0.2">
      <c r="A13" s="25">
        <v>46002</v>
      </c>
      <c r="B13" s="26">
        <v>1535</v>
      </c>
      <c r="C13" s="6">
        <f t="shared" si="0"/>
        <v>414.45</v>
      </c>
      <c r="D13" s="26"/>
      <c r="E13" s="6">
        <f t="shared" si="1"/>
        <v>0</v>
      </c>
      <c r="F13" s="26">
        <v>250</v>
      </c>
      <c r="G13" s="7">
        <f t="shared" si="2"/>
        <v>664.45</v>
      </c>
      <c r="H13" s="18"/>
      <c r="I13" s="18"/>
      <c r="J13" s="33">
        <f>SUM(J8:J12)</f>
        <v>3934.17</v>
      </c>
      <c r="K13" s="18"/>
      <c r="L13" s="18"/>
      <c r="M13" s="18">
        <v>2500</v>
      </c>
      <c r="N13" s="18">
        <v>2000</v>
      </c>
    </row>
    <row r="14" spans="1:15" x14ac:dyDescent="0.2">
      <c r="A14" s="28">
        <v>46003</v>
      </c>
      <c r="B14" s="29"/>
      <c r="C14" s="11">
        <f t="shared" si="0"/>
        <v>0</v>
      </c>
      <c r="D14" s="29">
        <v>3195</v>
      </c>
      <c r="E14" s="11">
        <f t="shared" si="1"/>
        <v>511.20000000000005</v>
      </c>
      <c r="F14" s="29">
        <v>250</v>
      </c>
      <c r="G14" s="11">
        <f t="shared" si="2"/>
        <v>761.2</v>
      </c>
      <c r="H14" s="18"/>
      <c r="J14" s="32">
        <v>4421</v>
      </c>
      <c r="K14" s="18">
        <v>200</v>
      </c>
      <c r="L14" s="18">
        <v>75</v>
      </c>
      <c r="M14" s="18">
        <v>500</v>
      </c>
      <c r="N14" s="18">
        <v>3646</v>
      </c>
      <c r="O14" s="32">
        <v>3646</v>
      </c>
    </row>
    <row r="15" spans="1:15" x14ac:dyDescent="0.2">
      <c r="A15" s="25">
        <v>46004</v>
      </c>
      <c r="B15" s="26">
        <v>495</v>
      </c>
      <c r="C15" s="6">
        <f t="shared" si="0"/>
        <v>133.65</v>
      </c>
      <c r="D15" s="26">
        <v>2695</v>
      </c>
      <c r="E15" s="6">
        <f t="shared" si="1"/>
        <v>431.20000000000005</v>
      </c>
      <c r="F15" s="26">
        <v>250</v>
      </c>
      <c r="G15" s="7">
        <f t="shared" si="2"/>
        <v>814.85</v>
      </c>
      <c r="H15" s="18"/>
      <c r="I15" s="18" t="s">
        <v>115</v>
      </c>
      <c r="J15" s="18">
        <v>814</v>
      </c>
    </row>
    <row r="16" spans="1:15" x14ac:dyDescent="0.2">
      <c r="A16" s="25">
        <v>46005</v>
      </c>
      <c r="B16" s="26"/>
      <c r="C16" s="6">
        <f t="shared" si="0"/>
        <v>0</v>
      </c>
      <c r="D16" s="26"/>
      <c r="E16" s="6">
        <f t="shared" si="1"/>
        <v>0</v>
      </c>
      <c r="F16" s="26"/>
      <c r="G16" s="7">
        <f t="shared" si="2"/>
        <v>0</v>
      </c>
      <c r="H16" s="18"/>
      <c r="I16" s="17">
        <v>46007</v>
      </c>
      <c r="J16" s="18">
        <v>764</v>
      </c>
    </row>
    <row r="17" spans="1:16" x14ac:dyDescent="0.2">
      <c r="A17" s="25">
        <v>46006</v>
      </c>
      <c r="B17" s="26"/>
      <c r="C17" s="6">
        <f t="shared" si="0"/>
        <v>0</v>
      </c>
      <c r="D17" s="26"/>
      <c r="E17" s="6">
        <f t="shared" si="1"/>
        <v>0</v>
      </c>
      <c r="F17" s="26"/>
      <c r="G17" s="7">
        <f t="shared" si="2"/>
        <v>0</v>
      </c>
      <c r="H17" s="18"/>
      <c r="I17" s="17">
        <v>46008</v>
      </c>
      <c r="J17" s="18">
        <v>744</v>
      </c>
      <c r="K17" s="18"/>
      <c r="L17" s="18"/>
      <c r="M17" s="18"/>
      <c r="N17" s="18"/>
    </row>
    <row r="18" spans="1:16" x14ac:dyDescent="0.2">
      <c r="A18" s="25">
        <v>46007</v>
      </c>
      <c r="B18" s="26">
        <v>1313</v>
      </c>
      <c r="C18" s="6">
        <f t="shared" si="0"/>
        <v>354.51</v>
      </c>
      <c r="D18" s="26">
        <v>1000</v>
      </c>
      <c r="E18" s="6">
        <f t="shared" si="1"/>
        <v>160</v>
      </c>
      <c r="F18" s="26">
        <v>250</v>
      </c>
      <c r="G18" s="7">
        <f t="shared" si="2"/>
        <v>764.51</v>
      </c>
      <c r="H18" s="18" t="s">
        <v>130</v>
      </c>
      <c r="I18" s="17">
        <v>46009</v>
      </c>
      <c r="J18" s="18">
        <v>974</v>
      </c>
      <c r="K18" s="18"/>
      <c r="L18" s="18"/>
      <c r="M18" s="18"/>
      <c r="N18" s="18"/>
    </row>
    <row r="19" spans="1:16" x14ac:dyDescent="0.2">
      <c r="A19" s="25">
        <v>46008</v>
      </c>
      <c r="B19" s="26">
        <v>1830</v>
      </c>
      <c r="C19" s="6">
        <f t="shared" si="0"/>
        <v>494.09999999999997</v>
      </c>
      <c r="D19" s="26"/>
      <c r="E19" s="6">
        <f t="shared" si="1"/>
        <v>0</v>
      </c>
      <c r="F19" s="26">
        <v>250</v>
      </c>
      <c r="G19" s="7">
        <f t="shared" si="2"/>
        <v>744.09999999999991</v>
      </c>
      <c r="H19" s="18" t="s">
        <v>129</v>
      </c>
      <c r="I19" s="17">
        <v>46010</v>
      </c>
      <c r="J19" s="18">
        <v>993</v>
      </c>
      <c r="K19" s="18" t="s">
        <v>14</v>
      </c>
      <c r="L19" s="18" t="s">
        <v>79</v>
      </c>
      <c r="M19" s="18" t="s">
        <v>53</v>
      </c>
      <c r="N19" s="18"/>
      <c r="O19" s="18" t="s">
        <v>119</v>
      </c>
    </row>
    <row r="20" spans="1:16" x14ac:dyDescent="0.2">
      <c r="A20" s="25">
        <v>46009</v>
      </c>
      <c r="B20" s="26">
        <v>1350</v>
      </c>
      <c r="C20" s="6">
        <f t="shared" si="0"/>
        <v>364.5</v>
      </c>
      <c r="D20" s="26">
        <v>2250</v>
      </c>
      <c r="E20" s="6">
        <f t="shared" si="1"/>
        <v>360</v>
      </c>
      <c r="F20" s="26">
        <v>250</v>
      </c>
      <c r="G20" s="7">
        <f t="shared" si="2"/>
        <v>974.5</v>
      </c>
      <c r="H20" s="18"/>
      <c r="I20" s="18"/>
      <c r="J20" s="32">
        <f>SUM(J15:J19)</f>
        <v>4289</v>
      </c>
      <c r="K20" s="18"/>
      <c r="L20" s="18">
        <v>75</v>
      </c>
      <c r="M20" s="18">
        <v>500</v>
      </c>
      <c r="N20" s="18"/>
      <c r="O20" s="9">
        <v>3714</v>
      </c>
    </row>
    <row r="21" spans="1:16" x14ac:dyDescent="0.2">
      <c r="A21" s="28">
        <v>46010</v>
      </c>
      <c r="B21" s="29">
        <v>950</v>
      </c>
      <c r="C21" s="11">
        <f t="shared" si="0"/>
        <v>256.5</v>
      </c>
      <c r="D21" s="29">
        <v>3045</v>
      </c>
      <c r="E21" s="11">
        <f t="shared" si="1"/>
        <v>487.20000000000005</v>
      </c>
      <c r="F21" s="29">
        <v>250</v>
      </c>
      <c r="G21" s="11">
        <f t="shared" si="2"/>
        <v>993.7</v>
      </c>
      <c r="H21" s="18"/>
      <c r="I21" s="18"/>
      <c r="J21" s="18"/>
      <c r="K21" s="18"/>
      <c r="L21" s="18"/>
      <c r="M21" s="18"/>
      <c r="N21" s="18"/>
    </row>
    <row r="22" spans="1:16" x14ac:dyDescent="0.2">
      <c r="A22" s="25">
        <v>46011</v>
      </c>
      <c r="B22" s="34">
        <v>1989</v>
      </c>
      <c r="C22" s="6">
        <f t="shared" si="0"/>
        <v>537.03</v>
      </c>
      <c r="D22" s="26">
        <v>950</v>
      </c>
      <c r="E22" s="6">
        <f t="shared" si="1"/>
        <v>152</v>
      </c>
      <c r="F22" s="26">
        <v>250</v>
      </c>
      <c r="G22" s="7">
        <f t="shared" si="2"/>
        <v>939.03</v>
      </c>
      <c r="H22" s="18"/>
      <c r="I22" s="20">
        <v>46011</v>
      </c>
      <c r="J22" s="18">
        <v>939</v>
      </c>
      <c r="K22" s="18"/>
      <c r="L22" s="18"/>
      <c r="M22" s="18"/>
      <c r="N22" s="18"/>
      <c r="P22" t="s">
        <v>120</v>
      </c>
    </row>
    <row r="23" spans="1:16" x14ac:dyDescent="0.2">
      <c r="A23" s="25">
        <v>46012</v>
      </c>
      <c r="B23" s="26">
        <v>2555</v>
      </c>
      <c r="C23" s="6">
        <f t="shared" si="0"/>
        <v>689.85</v>
      </c>
      <c r="D23" s="26">
        <v>950</v>
      </c>
      <c r="E23" s="6">
        <f t="shared" si="1"/>
        <v>152</v>
      </c>
      <c r="F23" s="26">
        <v>250</v>
      </c>
      <c r="G23" s="7">
        <f t="shared" si="2"/>
        <v>1091.8499999999999</v>
      </c>
      <c r="H23" s="18"/>
      <c r="I23" s="20">
        <v>46012</v>
      </c>
      <c r="J23" s="18">
        <v>1091</v>
      </c>
      <c r="K23" s="18"/>
      <c r="L23" s="18"/>
      <c r="M23" s="18" t="s">
        <v>174</v>
      </c>
      <c r="N23" s="18"/>
    </row>
    <row r="24" spans="1:16" x14ac:dyDescent="0.2">
      <c r="A24" s="25">
        <v>46013</v>
      </c>
      <c r="B24" s="26">
        <v>1103</v>
      </c>
      <c r="C24" s="6">
        <f t="shared" si="0"/>
        <v>297.81</v>
      </c>
      <c r="D24" s="26">
        <v>2225</v>
      </c>
      <c r="E24" s="6">
        <f t="shared" si="1"/>
        <v>356</v>
      </c>
      <c r="F24" s="26">
        <v>250</v>
      </c>
      <c r="G24" s="7">
        <f t="shared" si="2"/>
        <v>903.81</v>
      </c>
      <c r="H24" s="18">
        <v>500</v>
      </c>
      <c r="I24" s="20">
        <v>46013</v>
      </c>
      <c r="J24" s="18">
        <v>903</v>
      </c>
      <c r="K24" s="18"/>
      <c r="L24" s="18"/>
      <c r="M24" s="18" t="s">
        <v>159</v>
      </c>
      <c r="N24" s="18"/>
    </row>
    <row r="25" spans="1:16" x14ac:dyDescent="0.2">
      <c r="A25" s="25">
        <v>46014</v>
      </c>
      <c r="B25" s="26"/>
      <c r="C25" s="6">
        <f t="shared" si="0"/>
        <v>0</v>
      </c>
      <c r="D25" s="26"/>
      <c r="E25" s="6">
        <f t="shared" si="1"/>
        <v>0</v>
      </c>
      <c r="F25" s="26"/>
      <c r="G25" s="7">
        <f t="shared" si="2"/>
        <v>0</v>
      </c>
      <c r="H25" s="18"/>
      <c r="I25" s="20">
        <v>46015</v>
      </c>
      <c r="J25" s="18">
        <v>742</v>
      </c>
      <c r="L25" s="18"/>
      <c r="M25" s="18" t="s">
        <v>127</v>
      </c>
      <c r="N25" s="18"/>
    </row>
    <row r="26" spans="1:16" x14ac:dyDescent="0.2">
      <c r="A26" s="25">
        <v>46015</v>
      </c>
      <c r="B26" s="26">
        <v>1823</v>
      </c>
      <c r="C26" s="6">
        <f t="shared" si="0"/>
        <v>492.21</v>
      </c>
      <c r="D26" s="26"/>
      <c r="E26" s="6">
        <f t="shared" si="1"/>
        <v>0</v>
      </c>
      <c r="F26" s="26">
        <v>250</v>
      </c>
      <c r="G26" s="7">
        <f t="shared" si="2"/>
        <v>742.21</v>
      </c>
      <c r="H26" s="18"/>
      <c r="I26" s="20">
        <v>46016</v>
      </c>
      <c r="J26" s="18">
        <v>866</v>
      </c>
      <c r="L26" s="18"/>
      <c r="M26" s="18"/>
      <c r="N26" s="18" t="s">
        <v>81</v>
      </c>
    </row>
    <row r="27" spans="1:16" x14ac:dyDescent="0.2">
      <c r="A27" s="25">
        <v>46016</v>
      </c>
      <c r="B27" s="26">
        <v>1280</v>
      </c>
      <c r="C27" s="6">
        <f t="shared" si="0"/>
        <v>345.59999999999997</v>
      </c>
      <c r="D27" s="26">
        <v>1695</v>
      </c>
      <c r="E27" s="6">
        <f t="shared" si="1"/>
        <v>271.2</v>
      </c>
      <c r="F27" s="26">
        <v>250</v>
      </c>
      <c r="G27" s="7">
        <f t="shared" si="2"/>
        <v>866.8</v>
      </c>
      <c r="H27" s="18"/>
      <c r="I27" s="18"/>
      <c r="J27" s="32">
        <f>SUM(J22:J26)</f>
        <v>4541</v>
      </c>
      <c r="K27" s="18"/>
      <c r="L27" s="18"/>
      <c r="M27" s="18" t="s">
        <v>185</v>
      </c>
      <c r="N27" s="39">
        <v>3866</v>
      </c>
    </row>
    <row r="28" spans="1:16" x14ac:dyDescent="0.2">
      <c r="A28" s="28">
        <v>46017</v>
      </c>
      <c r="B28" s="29"/>
      <c r="C28" s="11">
        <f t="shared" si="0"/>
        <v>0</v>
      </c>
      <c r="D28" s="29"/>
      <c r="E28" s="11">
        <f t="shared" si="1"/>
        <v>0</v>
      </c>
      <c r="F28" s="29"/>
      <c r="G28" s="11">
        <f t="shared" si="2"/>
        <v>0</v>
      </c>
      <c r="H28" s="18"/>
      <c r="I28" s="18"/>
      <c r="J28" s="18"/>
      <c r="K28" s="18"/>
      <c r="L28" s="18"/>
      <c r="M28" s="18"/>
      <c r="N28" s="18"/>
    </row>
    <row r="29" spans="1:16" x14ac:dyDescent="0.2">
      <c r="A29" s="25">
        <v>46018</v>
      </c>
      <c r="B29" s="26"/>
      <c r="C29" s="6">
        <f t="shared" si="0"/>
        <v>0</v>
      </c>
      <c r="D29" s="26"/>
      <c r="E29" s="6">
        <f t="shared" si="1"/>
        <v>0</v>
      </c>
      <c r="F29" s="26"/>
      <c r="G29" s="7">
        <f t="shared" si="2"/>
        <v>0</v>
      </c>
      <c r="H29" s="18"/>
      <c r="I29" s="18"/>
      <c r="J29" s="18"/>
      <c r="K29" s="18"/>
      <c r="L29" s="18"/>
      <c r="M29" s="18"/>
      <c r="N29" s="18"/>
    </row>
    <row r="30" spans="1:16" x14ac:dyDescent="0.2">
      <c r="A30" s="25">
        <v>46019</v>
      </c>
      <c r="B30" s="26"/>
      <c r="C30" s="6">
        <f t="shared" si="0"/>
        <v>0</v>
      </c>
      <c r="D30" s="26"/>
      <c r="E30" s="6">
        <f t="shared" si="1"/>
        <v>0</v>
      </c>
      <c r="F30" s="26"/>
      <c r="G30" s="7">
        <f t="shared" si="2"/>
        <v>0</v>
      </c>
      <c r="H30" s="18"/>
      <c r="I30" s="18"/>
      <c r="J30" s="18"/>
      <c r="K30" s="18"/>
      <c r="L30" s="18"/>
      <c r="M30" s="18"/>
      <c r="N30" s="18"/>
    </row>
    <row r="31" spans="1:16" x14ac:dyDescent="0.2">
      <c r="A31" s="25">
        <v>46020</v>
      </c>
      <c r="B31" s="26"/>
      <c r="C31" s="6">
        <f t="shared" si="0"/>
        <v>0</v>
      </c>
      <c r="D31" s="26"/>
      <c r="E31" s="6">
        <f t="shared" si="1"/>
        <v>0</v>
      </c>
      <c r="F31" s="26"/>
      <c r="G31" s="7">
        <f t="shared" si="2"/>
        <v>0</v>
      </c>
      <c r="H31" s="18"/>
      <c r="I31" s="18"/>
      <c r="J31" s="18"/>
      <c r="K31" s="18"/>
      <c r="L31" s="18"/>
      <c r="M31" s="18"/>
      <c r="N31" s="18"/>
    </row>
    <row r="32" spans="1:16" x14ac:dyDescent="0.2">
      <c r="A32" s="25">
        <v>46021</v>
      </c>
      <c r="B32" s="26"/>
      <c r="C32" s="6">
        <f t="shared" si="0"/>
        <v>0</v>
      </c>
      <c r="D32" s="26"/>
      <c r="E32" s="6">
        <f t="shared" si="1"/>
        <v>0</v>
      </c>
      <c r="F32" s="26"/>
      <c r="G32" s="7">
        <f t="shared" si="2"/>
        <v>0</v>
      </c>
      <c r="H32" s="18"/>
      <c r="I32" s="18"/>
      <c r="J32" s="18"/>
      <c r="K32" s="18"/>
      <c r="L32" s="18"/>
      <c r="M32" s="18"/>
      <c r="N32" s="18"/>
    </row>
    <row r="33" spans="1:14" x14ac:dyDescent="0.2">
      <c r="A33" s="25">
        <v>46022</v>
      </c>
      <c r="B33" s="26"/>
      <c r="C33" s="6">
        <f t="shared" si="0"/>
        <v>0</v>
      </c>
      <c r="D33" s="26"/>
      <c r="E33" s="6">
        <f t="shared" si="1"/>
        <v>0</v>
      </c>
      <c r="F33" s="26"/>
      <c r="G33" s="7">
        <f t="shared" si="2"/>
        <v>0</v>
      </c>
      <c r="H33" s="18"/>
      <c r="I33" s="18"/>
      <c r="J33" s="18"/>
      <c r="K33" s="18"/>
      <c r="L33" s="18"/>
      <c r="M33" s="18"/>
      <c r="N33" s="18"/>
    </row>
    <row r="34" spans="1:14" x14ac:dyDescent="0.2">
      <c r="A34" s="27" t="s">
        <v>6</v>
      </c>
      <c r="B34" s="26"/>
      <c r="C34" s="26"/>
      <c r="D34" s="26"/>
      <c r="E34" s="26"/>
      <c r="F34" s="26"/>
      <c r="G34" s="26"/>
      <c r="H34" s="18"/>
      <c r="I34" s="18"/>
      <c r="J34" s="18"/>
      <c r="K34" s="18"/>
      <c r="L34" s="18"/>
      <c r="M34" s="18"/>
      <c r="N34" s="18"/>
    </row>
    <row r="35" spans="1:14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C08C9-14C3-B844-9134-65F45D18FB01}">
  <dimension ref="A1:P34"/>
  <sheetViews>
    <sheetView topLeftCell="C13" zoomScale="150" zoomScaleNormal="80" workbookViewId="0">
      <selection activeCell="L24" sqref="L24"/>
    </sheetView>
  </sheetViews>
  <sheetFormatPr baseColWidth="10" defaultRowHeight="16" x14ac:dyDescent="0.2"/>
  <sheetData>
    <row r="1" spans="1:16" x14ac:dyDescent="0.2">
      <c r="A1" t="s">
        <v>29</v>
      </c>
    </row>
    <row r="2" spans="1:16" ht="34" x14ac:dyDescent="0.2">
      <c r="A2" s="1" t="s">
        <v>0</v>
      </c>
      <c r="B2" s="1" t="s">
        <v>1</v>
      </c>
      <c r="C2" s="2" t="s">
        <v>2</v>
      </c>
      <c r="D2" s="1" t="s">
        <v>3</v>
      </c>
      <c r="E2" s="2" t="s">
        <v>2</v>
      </c>
      <c r="F2" s="1" t="s">
        <v>4</v>
      </c>
      <c r="G2" s="3" t="s">
        <v>5</v>
      </c>
      <c r="H2" t="s">
        <v>37</v>
      </c>
      <c r="I2" t="s">
        <v>22</v>
      </c>
      <c r="J2" t="s">
        <v>23</v>
      </c>
      <c r="K2" s="12" t="s">
        <v>21</v>
      </c>
      <c r="L2" s="12" t="s">
        <v>14</v>
      </c>
      <c r="M2" t="s">
        <v>53</v>
      </c>
      <c r="P2" t="s">
        <v>85</v>
      </c>
    </row>
    <row r="3" spans="1:16" x14ac:dyDescent="0.2">
      <c r="A3" s="4">
        <v>45992</v>
      </c>
      <c r="B3" s="5">
        <v>944</v>
      </c>
      <c r="C3" s="6">
        <f>(B3*0.9*0.3)</f>
        <v>254.88</v>
      </c>
      <c r="D3" s="5"/>
      <c r="E3" s="6">
        <f>(D3*0.8*0.15)</f>
        <v>0</v>
      </c>
      <c r="F3" s="5">
        <v>200</v>
      </c>
      <c r="G3" s="7">
        <f>(C3+E3+F3)</f>
        <v>454.88</v>
      </c>
      <c r="H3">
        <v>200</v>
      </c>
      <c r="I3" t="s">
        <v>58</v>
      </c>
      <c r="J3" s="12">
        <v>470</v>
      </c>
      <c r="K3" s="12"/>
      <c r="L3" s="12"/>
      <c r="P3" t="s">
        <v>86</v>
      </c>
    </row>
    <row r="4" spans="1:16" x14ac:dyDescent="0.2">
      <c r="A4" s="4">
        <v>45993</v>
      </c>
      <c r="B4" s="5"/>
      <c r="C4" s="6">
        <f>(B4*0.9*0.3)</f>
        <v>0</v>
      </c>
      <c r="D4" s="5"/>
      <c r="E4" s="6">
        <f t="shared" ref="E4:E33" si="0">(D4*0.8*0.15)</f>
        <v>0</v>
      </c>
      <c r="F4" s="5"/>
      <c r="G4" s="7">
        <f t="shared" ref="G4:G33" si="1">(C4+E4+F4)</f>
        <v>0</v>
      </c>
      <c r="I4" t="s">
        <v>56</v>
      </c>
      <c r="J4">
        <v>701</v>
      </c>
      <c r="M4" t="s">
        <v>60</v>
      </c>
    </row>
    <row r="5" spans="1:16" x14ac:dyDescent="0.2">
      <c r="A5" s="4">
        <v>45994</v>
      </c>
      <c r="B5" s="5">
        <v>1919</v>
      </c>
      <c r="C5" s="6">
        <f>(B5*0.9*0.3)</f>
        <v>518.13</v>
      </c>
      <c r="D5" s="5"/>
      <c r="E5" s="6">
        <f t="shared" si="0"/>
        <v>0</v>
      </c>
      <c r="F5" s="5">
        <v>200</v>
      </c>
      <c r="G5" s="7">
        <f t="shared" si="1"/>
        <v>718.13</v>
      </c>
      <c r="I5" t="s">
        <v>59</v>
      </c>
      <c r="J5">
        <v>2433</v>
      </c>
      <c r="M5" t="s">
        <v>61</v>
      </c>
    </row>
    <row r="6" spans="1:16" x14ac:dyDescent="0.2">
      <c r="A6" s="4">
        <v>45995</v>
      </c>
      <c r="B6" s="5">
        <v>1419</v>
      </c>
      <c r="C6" s="6">
        <f t="shared" ref="C6:C33" si="2">(B6*0.9*0.3)</f>
        <v>383.13000000000005</v>
      </c>
      <c r="D6" s="5"/>
      <c r="E6" s="6">
        <f t="shared" si="0"/>
        <v>0</v>
      </c>
      <c r="F6" s="5">
        <v>200</v>
      </c>
      <c r="G6" s="7">
        <f t="shared" si="1"/>
        <v>583.13000000000011</v>
      </c>
      <c r="H6">
        <v>200</v>
      </c>
      <c r="J6">
        <f ca="1">SUM(J3:J6)</f>
        <v>3604</v>
      </c>
      <c r="K6">
        <v>75</v>
      </c>
      <c r="L6">
        <v>400</v>
      </c>
      <c r="M6">
        <v>600</v>
      </c>
      <c r="N6">
        <v>2529</v>
      </c>
    </row>
    <row r="7" spans="1:16" x14ac:dyDescent="0.2">
      <c r="A7" s="10">
        <v>45996</v>
      </c>
      <c r="B7" s="11">
        <v>1768</v>
      </c>
      <c r="C7" s="11">
        <f t="shared" si="2"/>
        <v>477.36</v>
      </c>
      <c r="D7" s="11"/>
      <c r="E7" s="11">
        <f t="shared" si="0"/>
        <v>0</v>
      </c>
      <c r="F7" s="11">
        <v>200</v>
      </c>
      <c r="G7" s="11">
        <f t="shared" si="1"/>
        <v>677.36</v>
      </c>
      <c r="I7" s="17">
        <v>45997</v>
      </c>
      <c r="J7">
        <v>616.36</v>
      </c>
    </row>
    <row r="8" spans="1:16" x14ac:dyDescent="0.2">
      <c r="A8" s="4">
        <v>45997</v>
      </c>
      <c r="B8" s="5">
        <v>1914</v>
      </c>
      <c r="C8" s="6">
        <f t="shared" si="2"/>
        <v>516.78</v>
      </c>
      <c r="D8" s="5"/>
      <c r="E8" s="6">
        <f t="shared" si="0"/>
        <v>0</v>
      </c>
      <c r="F8" s="5">
        <v>100</v>
      </c>
      <c r="G8" s="7">
        <f t="shared" si="1"/>
        <v>616.78</v>
      </c>
      <c r="I8" s="17">
        <v>45998</v>
      </c>
      <c r="J8">
        <v>967</v>
      </c>
    </row>
    <row r="9" spans="1:16" x14ac:dyDescent="0.2">
      <c r="A9" s="4">
        <v>45998</v>
      </c>
      <c r="B9" s="5">
        <v>2841</v>
      </c>
      <c r="C9" s="6">
        <f t="shared" si="2"/>
        <v>767.07</v>
      </c>
      <c r="D9" s="5"/>
      <c r="E9" s="6">
        <f t="shared" si="0"/>
        <v>0</v>
      </c>
      <c r="F9" s="5">
        <v>200</v>
      </c>
      <c r="G9" s="7">
        <f t="shared" si="1"/>
        <v>967.07</v>
      </c>
      <c r="I9" s="17">
        <v>45999</v>
      </c>
      <c r="J9">
        <v>698</v>
      </c>
    </row>
    <row r="10" spans="1:16" x14ac:dyDescent="0.2">
      <c r="A10" s="4">
        <v>45999</v>
      </c>
      <c r="B10" s="5">
        <v>1845</v>
      </c>
      <c r="C10" s="6">
        <f t="shared" si="2"/>
        <v>498.15</v>
      </c>
      <c r="D10" s="5"/>
      <c r="E10" s="6">
        <f t="shared" si="0"/>
        <v>0</v>
      </c>
      <c r="F10" s="5">
        <v>200</v>
      </c>
      <c r="G10" s="7">
        <f t="shared" si="1"/>
        <v>698.15</v>
      </c>
      <c r="I10" s="17">
        <v>46000</v>
      </c>
      <c r="J10">
        <v>367</v>
      </c>
    </row>
    <row r="11" spans="1:16" x14ac:dyDescent="0.2">
      <c r="A11" s="4">
        <v>46000</v>
      </c>
      <c r="B11" s="5">
        <v>620</v>
      </c>
      <c r="C11" s="6">
        <f t="shared" si="2"/>
        <v>167.4</v>
      </c>
      <c r="D11" s="5"/>
      <c r="E11" s="6">
        <f t="shared" si="0"/>
        <v>0</v>
      </c>
      <c r="F11" s="5">
        <v>200</v>
      </c>
      <c r="G11" s="7">
        <f t="shared" si="1"/>
        <v>367.4</v>
      </c>
      <c r="I11" s="17">
        <v>46001</v>
      </c>
      <c r="J11">
        <v>514</v>
      </c>
    </row>
    <row r="12" spans="1:16" x14ac:dyDescent="0.2">
      <c r="A12" s="4">
        <v>46001</v>
      </c>
      <c r="B12" s="5">
        <v>1164</v>
      </c>
      <c r="C12" s="6">
        <f t="shared" si="2"/>
        <v>314.28000000000003</v>
      </c>
      <c r="D12" s="5"/>
      <c r="E12" s="6">
        <f t="shared" si="0"/>
        <v>0</v>
      </c>
      <c r="F12" s="5">
        <v>200</v>
      </c>
      <c r="G12" s="7">
        <f t="shared" si="1"/>
        <v>514.28</v>
      </c>
      <c r="H12">
        <v>200</v>
      </c>
      <c r="I12" s="17">
        <v>46002</v>
      </c>
      <c r="J12">
        <v>821</v>
      </c>
    </row>
    <row r="13" spans="1:16" x14ac:dyDescent="0.2">
      <c r="A13" s="4">
        <v>46002</v>
      </c>
      <c r="B13" s="5">
        <v>2300</v>
      </c>
      <c r="C13" s="6">
        <f t="shared" si="2"/>
        <v>621</v>
      </c>
      <c r="D13" s="5"/>
      <c r="E13" s="6">
        <f t="shared" si="0"/>
        <v>0</v>
      </c>
      <c r="F13" s="5">
        <v>200</v>
      </c>
      <c r="G13" s="7">
        <f t="shared" si="1"/>
        <v>821</v>
      </c>
      <c r="H13">
        <v>200</v>
      </c>
      <c r="I13" s="17">
        <v>46003</v>
      </c>
      <c r="J13">
        <v>704</v>
      </c>
      <c r="L13" t="s">
        <v>14</v>
      </c>
      <c r="M13" t="s">
        <v>79</v>
      </c>
      <c r="N13" t="s">
        <v>8</v>
      </c>
      <c r="O13" t="s">
        <v>81</v>
      </c>
    </row>
    <row r="14" spans="1:16" x14ac:dyDescent="0.2">
      <c r="A14" s="10">
        <v>46003</v>
      </c>
      <c r="B14" s="11">
        <v>1870</v>
      </c>
      <c r="C14" s="11">
        <f t="shared" si="2"/>
        <v>504.9</v>
      </c>
      <c r="D14" s="11"/>
      <c r="E14" s="11">
        <f t="shared" si="0"/>
        <v>0</v>
      </c>
      <c r="F14" s="11">
        <v>200</v>
      </c>
      <c r="G14" s="11">
        <f t="shared" si="1"/>
        <v>704.9</v>
      </c>
      <c r="H14">
        <v>200</v>
      </c>
      <c r="J14" s="9">
        <f>SUM(J7:J13)</f>
        <v>4687.3600000000006</v>
      </c>
      <c r="L14">
        <v>600</v>
      </c>
      <c r="M14">
        <v>75</v>
      </c>
      <c r="N14">
        <v>300</v>
      </c>
      <c r="O14" s="9">
        <v>3712</v>
      </c>
    </row>
    <row r="15" spans="1:16" x14ac:dyDescent="0.2">
      <c r="A15" s="4">
        <v>46004</v>
      </c>
      <c r="B15" s="5">
        <v>1791</v>
      </c>
      <c r="C15" s="6">
        <f t="shared" si="2"/>
        <v>483.57</v>
      </c>
      <c r="D15" s="5"/>
      <c r="E15" s="6">
        <f t="shared" si="0"/>
        <v>0</v>
      </c>
      <c r="F15" s="5">
        <v>200</v>
      </c>
      <c r="G15" s="7">
        <f t="shared" si="1"/>
        <v>683.56999999999994</v>
      </c>
      <c r="I15" s="17">
        <v>46004</v>
      </c>
      <c r="J15">
        <v>683</v>
      </c>
    </row>
    <row r="16" spans="1:16" x14ac:dyDescent="0.2">
      <c r="A16" s="4">
        <v>46005</v>
      </c>
      <c r="B16" s="5">
        <v>1102</v>
      </c>
      <c r="C16" s="6">
        <f t="shared" si="2"/>
        <v>297.54000000000002</v>
      </c>
      <c r="D16" s="5"/>
      <c r="E16" s="6">
        <f t="shared" si="0"/>
        <v>0</v>
      </c>
      <c r="F16" s="5">
        <v>200</v>
      </c>
      <c r="G16" s="7">
        <f t="shared" si="1"/>
        <v>497.54</v>
      </c>
      <c r="I16" s="17">
        <v>46005</v>
      </c>
      <c r="J16">
        <v>497</v>
      </c>
    </row>
    <row r="17" spans="1:15" x14ac:dyDescent="0.2">
      <c r="A17" s="4">
        <v>46006</v>
      </c>
      <c r="B17" s="5">
        <v>940</v>
      </c>
      <c r="C17" s="6">
        <f t="shared" si="2"/>
        <v>253.79999999999998</v>
      </c>
      <c r="D17" s="5"/>
      <c r="E17" s="6">
        <f t="shared" si="0"/>
        <v>0</v>
      </c>
      <c r="F17" s="5">
        <v>200</v>
      </c>
      <c r="G17" s="7">
        <f t="shared" si="1"/>
        <v>453.79999999999995</v>
      </c>
      <c r="H17">
        <v>250</v>
      </c>
      <c r="I17" s="17">
        <v>46006</v>
      </c>
      <c r="J17">
        <v>453</v>
      </c>
    </row>
    <row r="18" spans="1:15" x14ac:dyDescent="0.2">
      <c r="A18" s="4">
        <v>46007</v>
      </c>
      <c r="B18" s="5"/>
      <c r="C18" s="6">
        <f t="shared" si="2"/>
        <v>0</v>
      </c>
      <c r="D18" s="5"/>
      <c r="E18" s="6">
        <f t="shared" si="0"/>
        <v>0</v>
      </c>
      <c r="F18" s="5"/>
      <c r="G18" s="7">
        <f t="shared" si="1"/>
        <v>0</v>
      </c>
      <c r="I18" s="17">
        <v>46008</v>
      </c>
      <c r="J18">
        <v>690</v>
      </c>
    </row>
    <row r="19" spans="1:15" x14ac:dyDescent="0.2">
      <c r="A19" s="4">
        <v>46008</v>
      </c>
      <c r="B19" s="5">
        <v>1815</v>
      </c>
      <c r="C19" s="6">
        <f t="shared" si="2"/>
        <v>490.04999999999995</v>
      </c>
      <c r="D19" s="5"/>
      <c r="E19" s="6">
        <f t="shared" si="0"/>
        <v>0</v>
      </c>
      <c r="F19" s="5">
        <v>200</v>
      </c>
      <c r="G19" s="7">
        <f t="shared" si="1"/>
        <v>690.05</v>
      </c>
      <c r="H19">
        <v>200</v>
      </c>
      <c r="I19" s="17">
        <v>46009</v>
      </c>
      <c r="J19">
        <v>633</v>
      </c>
    </row>
    <row r="20" spans="1:15" x14ac:dyDescent="0.2">
      <c r="A20" s="4">
        <v>46009</v>
      </c>
      <c r="B20" s="5">
        <v>1605</v>
      </c>
      <c r="C20" s="6">
        <f t="shared" si="2"/>
        <v>433.34999999999997</v>
      </c>
      <c r="D20" s="5"/>
      <c r="E20" s="6">
        <f t="shared" si="0"/>
        <v>0</v>
      </c>
      <c r="F20" s="5">
        <v>200</v>
      </c>
      <c r="G20" s="7">
        <f t="shared" si="1"/>
        <v>633.34999999999991</v>
      </c>
      <c r="H20">
        <v>150</v>
      </c>
      <c r="I20" s="17">
        <v>46010</v>
      </c>
      <c r="J20">
        <v>628</v>
      </c>
      <c r="L20" t="s">
        <v>14</v>
      </c>
      <c r="M20" t="s">
        <v>79</v>
      </c>
      <c r="N20" t="s">
        <v>8</v>
      </c>
      <c r="O20" t="s">
        <v>81</v>
      </c>
    </row>
    <row r="21" spans="1:15" x14ac:dyDescent="0.2">
      <c r="A21" s="10">
        <v>46010</v>
      </c>
      <c r="B21" s="11">
        <v>1588</v>
      </c>
      <c r="C21" s="11">
        <f t="shared" si="2"/>
        <v>428.76</v>
      </c>
      <c r="D21" s="11"/>
      <c r="E21" s="11">
        <f t="shared" si="0"/>
        <v>0</v>
      </c>
      <c r="F21" s="11">
        <v>200</v>
      </c>
      <c r="G21" s="11">
        <f t="shared" si="1"/>
        <v>628.76</v>
      </c>
      <c r="J21" s="9">
        <f>SUM(J15:J20)</f>
        <v>3584</v>
      </c>
      <c r="L21">
        <v>600</v>
      </c>
      <c r="M21">
        <v>75</v>
      </c>
      <c r="N21">
        <v>300</v>
      </c>
      <c r="O21" s="9">
        <v>2609</v>
      </c>
    </row>
    <row r="22" spans="1:15" x14ac:dyDescent="0.2">
      <c r="A22" s="4">
        <v>46011</v>
      </c>
      <c r="B22" s="5">
        <v>2833</v>
      </c>
      <c r="C22" s="6">
        <f t="shared" si="2"/>
        <v>764.91000000000008</v>
      </c>
      <c r="D22" s="5"/>
      <c r="E22" s="6">
        <f t="shared" si="0"/>
        <v>0</v>
      </c>
      <c r="F22" s="5">
        <v>200</v>
      </c>
      <c r="G22" s="7">
        <f t="shared" si="1"/>
        <v>964.91000000000008</v>
      </c>
      <c r="I22" s="17">
        <v>46011</v>
      </c>
      <c r="J22">
        <v>964</v>
      </c>
      <c r="K22" t="s">
        <v>153</v>
      </c>
    </row>
    <row r="23" spans="1:15" x14ac:dyDescent="0.2">
      <c r="A23" s="4">
        <v>46012</v>
      </c>
      <c r="B23" s="5">
        <v>2814</v>
      </c>
      <c r="C23" s="6">
        <f t="shared" si="2"/>
        <v>759.78</v>
      </c>
      <c r="D23" s="5"/>
      <c r="E23" s="6">
        <f t="shared" si="0"/>
        <v>0</v>
      </c>
      <c r="F23" s="5">
        <v>200</v>
      </c>
      <c r="G23" s="7">
        <f t="shared" si="1"/>
        <v>959.78</v>
      </c>
      <c r="I23" s="17">
        <v>46012</v>
      </c>
      <c r="J23">
        <v>959</v>
      </c>
    </row>
    <row r="24" spans="1:15" x14ac:dyDescent="0.2">
      <c r="A24" s="4">
        <v>46013</v>
      </c>
      <c r="B24" s="5">
        <v>2176</v>
      </c>
      <c r="C24" s="6">
        <f t="shared" si="2"/>
        <v>587.52</v>
      </c>
      <c r="D24" s="5"/>
      <c r="E24" s="6">
        <f t="shared" si="0"/>
        <v>0</v>
      </c>
      <c r="F24" s="5">
        <v>200</v>
      </c>
      <c r="G24" s="7">
        <f t="shared" si="1"/>
        <v>787.52</v>
      </c>
      <c r="H24">
        <v>600</v>
      </c>
      <c r="I24" s="17">
        <v>46013</v>
      </c>
      <c r="J24">
        <v>787</v>
      </c>
    </row>
    <row r="25" spans="1:15" x14ac:dyDescent="0.2">
      <c r="A25" s="4">
        <v>46014</v>
      </c>
      <c r="B25" s="5">
        <v>2043</v>
      </c>
      <c r="C25" s="6">
        <f t="shared" si="2"/>
        <v>551.61</v>
      </c>
      <c r="D25" s="5"/>
      <c r="E25" s="6">
        <f t="shared" si="0"/>
        <v>0</v>
      </c>
      <c r="F25" s="5">
        <v>200</v>
      </c>
      <c r="G25" s="7">
        <f t="shared" si="1"/>
        <v>751.61</v>
      </c>
      <c r="I25" s="17">
        <v>46014</v>
      </c>
      <c r="J25">
        <v>751</v>
      </c>
    </row>
    <row r="26" spans="1:15" x14ac:dyDescent="0.2">
      <c r="A26" s="4">
        <v>46015</v>
      </c>
      <c r="B26" s="5">
        <v>1420</v>
      </c>
      <c r="C26" s="6">
        <f t="shared" si="2"/>
        <v>383.4</v>
      </c>
      <c r="D26" s="5"/>
      <c r="E26" s="6">
        <f t="shared" si="0"/>
        <v>0</v>
      </c>
      <c r="F26" s="5">
        <v>200</v>
      </c>
      <c r="G26" s="7">
        <f t="shared" si="1"/>
        <v>583.4</v>
      </c>
      <c r="I26" s="17">
        <v>46015</v>
      </c>
      <c r="J26">
        <v>583</v>
      </c>
      <c r="M26" t="s">
        <v>163</v>
      </c>
    </row>
    <row r="27" spans="1:15" x14ac:dyDescent="0.2">
      <c r="A27" s="4">
        <v>46016</v>
      </c>
      <c r="B27" s="5"/>
      <c r="C27" s="6">
        <f t="shared" si="2"/>
        <v>0</v>
      </c>
      <c r="D27" s="5"/>
      <c r="E27" s="6">
        <f t="shared" si="0"/>
        <v>0</v>
      </c>
      <c r="F27" s="5"/>
      <c r="G27" s="7">
        <f t="shared" si="1"/>
        <v>0</v>
      </c>
      <c r="I27" s="17">
        <v>46017</v>
      </c>
      <c r="J27">
        <v>675</v>
      </c>
      <c r="M27" t="s">
        <v>161</v>
      </c>
      <c r="N27" t="s">
        <v>81</v>
      </c>
    </row>
    <row r="28" spans="1:15" x14ac:dyDescent="0.2">
      <c r="A28" s="10">
        <v>46017</v>
      </c>
      <c r="B28" s="11">
        <v>1760</v>
      </c>
      <c r="C28" s="11">
        <f t="shared" si="2"/>
        <v>475.2</v>
      </c>
      <c r="D28" s="11"/>
      <c r="E28" s="11">
        <f t="shared" si="0"/>
        <v>0</v>
      </c>
      <c r="F28" s="11">
        <v>200</v>
      </c>
      <c r="G28" s="11">
        <f t="shared" si="1"/>
        <v>675.2</v>
      </c>
      <c r="J28" s="9">
        <f>SUM(J22:J27)</f>
        <v>4719</v>
      </c>
      <c r="M28" t="s">
        <v>162</v>
      </c>
      <c r="N28" s="36">
        <v>3719</v>
      </c>
    </row>
    <row r="29" spans="1:15" x14ac:dyDescent="0.2">
      <c r="A29" s="4">
        <v>46018</v>
      </c>
      <c r="B29" s="5"/>
      <c r="C29" s="6">
        <f t="shared" si="2"/>
        <v>0</v>
      </c>
      <c r="D29" s="5"/>
      <c r="E29" s="6">
        <f t="shared" si="0"/>
        <v>0</v>
      </c>
      <c r="F29" s="5"/>
      <c r="G29" s="7">
        <f t="shared" si="1"/>
        <v>0</v>
      </c>
    </row>
    <row r="30" spans="1:15" x14ac:dyDescent="0.2">
      <c r="A30" s="4">
        <v>46019</v>
      </c>
      <c r="B30" s="5"/>
      <c r="C30" s="6">
        <f t="shared" si="2"/>
        <v>0</v>
      </c>
      <c r="D30" s="5"/>
      <c r="E30" s="6">
        <f t="shared" si="0"/>
        <v>0</v>
      </c>
      <c r="F30" s="5"/>
      <c r="G30" s="7">
        <f t="shared" si="1"/>
        <v>0</v>
      </c>
    </row>
    <row r="31" spans="1:15" x14ac:dyDescent="0.2">
      <c r="A31" s="4">
        <v>46020</v>
      </c>
      <c r="B31" s="5"/>
      <c r="C31" s="6">
        <f t="shared" si="2"/>
        <v>0</v>
      </c>
      <c r="D31" s="5"/>
      <c r="E31" s="6">
        <f t="shared" si="0"/>
        <v>0</v>
      </c>
      <c r="F31" s="5"/>
      <c r="G31" s="7">
        <f t="shared" si="1"/>
        <v>0</v>
      </c>
    </row>
    <row r="32" spans="1:15" x14ac:dyDescent="0.2">
      <c r="A32" s="4">
        <v>46021</v>
      </c>
      <c r="B32" s="5"/>
      <c r="C32" s="6">
        <f t="shared" si="2"/>
        <v>0</v>
      </c>
      <c r="D32" s="5"/>
      <c r="E32" s="6">
        <f t="shared" si="0"/>
        <v>0</v>
      </c>
      <c r="F32" s="5"/>
      <c r="G32" s="7">
        <f t="shared" si="1"/>
        <v>0</v>
      </c>
    </row>
    <row r="33" spans="1:7" x14ac:dyDescent="0.2">
      <c r="A33" s="4">
        <v>46022</v>
      </c>
      <c r="B33" s="5"/>
      <c r="C33" s="6">
        <f t="shared" si="2"/>
        <v>0</v>
      </c>
      <c r="D33" s="5"/>
      <c r="E33" s="6">
        <f t="shared" si="0"/>
        <v>0</v>
      </c>
      <c r="F33" s="5"/>
      <c r="G33" s="7">
        <f t="shared" si="1"/>
        <v>0</v>
      </c>
    </row>
    <row r="34" spans="1:7" x14ac:dyDescent="0.2">
      <c r="A34" s="5" t="s">
        <v>6</v>
      </c>
      <c r="B34" s="5"/>
      <c r="C34" s="5"/>
      <c r="D34" s="5"/>
      <c r="E34" s="5"/>
      <c r="F34" s="5"/>
      <c r="G34" s="5"/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7BE1-8EE4-8745-97A0-2DE5DD578FAD}">
  <dimension ref="A1:M34"/>
  <sheetViews>
    <sheetView topLeftCell="A13" zoomScale="143" zoomScaleNormal="112" workbookViewId="0">
      <selection activeCell="L27" sqref="L27"/>
    </sheetView>
  </sheetViews>
  <sheetFormatPr baseColWidth="10" defaultRowHeight="16" x14ac:dyDescent="0.2"/>
  <cols>
    <col min="12" max="12" width="6.33203125" customWidth="1"/>
  </cols>
  <sheetData>
    <row r="1" spans="1:13" x14ac:dyDescent="0.2">
      <c r="A1" t="s">
        <v>30</v>
      </c>
    </row>
    <row r="2" spans="1:13" ht="34" x14ac:dyDescent="0.2">
      <c r="A2" s="1" t="s">
        <v>0</v>
      </c>
      <c r="B2" s="1" t="s">
        <v>1</v>
      </c>
      <c r="C2" s="2" t="s">
        <v>2</v>
      </c>
      <c r="D2" s="1" t="s">
        <v>3</v>
      </c>
      <c r="E2" s="2" t="s">
        <v>2</v>
      </c>
      <c r="F2" s="1" t="s">
        <v>4</v>
      </c>
      <c r="G2" s="3" t="s">
        <v>5</v>
      </c>
      <c r="H2" t="s">
        <v>37</v>
      </c>
      <c r="I2" t="s">
        <v>22</v>
      </c>
      <c r="J2" t="s">
        <v>23</v>
      </c>
      <c r="K2" s="12" t="s">
        <v>8</v>
      </c>
      <c r="L2" s="12" t="s">
        <v>14</v>
      </c>
      <c r="M2" t="s">
        <v>24</v>
      </c>
    </row>
    <row r="3" spans="1:13" x14ac:dyDescent="0.2">
      <c r="A3" s="4">
        <v>45992</v>
      </c>
      <c r="B3" s="5">
        <v>830</v>
      </c>
      <c r="C3" s="6">
        <f>(B3*0.9*0.1)</f>
        <v>74.7</v>
      </c>
      <c r="D3" s="5"/>
      <c r="E3" s="6"/>
      <c r="F3" s="5">
        <v>200</v>
      </c>
      <c r="G3" s="7">
        <f>(C3+E3+F3)</f>
        <v>274.7</v>
      </c>
      <c r="H3">
        <v>100</v>
      </c>
      <c r="I3" s="17">
        <v>45990</v>
      </c>
      <c r="J3" s="12">
        <v>594</v>
      </c>
      <c r="K3" s="12" t="s">
        <v>68</v>
      </c>
      <c r="L3" s="12">
        <v>100</v>
      </c>
      <c r="M3" s="17"/>
    </row>
    <row r="4" spans="1:13" x14ac:dyDescent="0.2">
      <c r="A4" s="4">
        <v>45993</v>
      </c>
      <c r="B4" s="5">
        <v>655</v>
      </c>
      <c r="C4" s="6">
        <f t="shared" ref="C4:C9" si="0">(B4*0.9*0.1)</f>
        <v>58.95</v>
      </c>
      <c r="D4" s="5"/>
      <c r="E4" s="6"/>
      <c r="F4" s="5">
        <v>200</v>
      </c>
      <c r="G4" s="7">
        <f t="shared" ref="G4:G33" si="1">(C4+E4+F4)</f>
        <v>258.95</v>
      </c>
      <c r="I4" s="17">
        <v>45991</v>
      </c>
      <c r="K4" t="s">
        <v>48</v>
      </c>
    </row>
    <row r="5" spans="1:13" x14ac:dyDescent="0.2">
      <c r="A5" s="4">
        <v>45994</v>
      </c>
      <c r="B5" s="5">
        <v>2084</v>
      </c>
      <c r="C5" s="6">
        <f t="shared" si="0"/>
        <v>187.56000000000003</v>
      </c>
      <c r="D5" s="5"/>
      <c r="E5" s="6"/>
      <c r="F5" s="5">
        <v>200</v>
      </c>
      <c r="G5" s="7">
        <f t="shared" si="1"/>
        <v>387.56000000000006</v>
      </c>
      <c r="H5">
        <v>500</v>
      </c>
      <c r="I5" t="s">
        <v>45</v>
      </c>
      <c r="J5">
        <v>1521</v>
      </c>
      <c r="L5">
        <v>500</v>
      </c>
    </row>
    <row r="6" spans="1:13" x14ac:dyDescent="0.2">
      <c r="A6" s="4">
        <v>45995</v>
      </c>
      <c r="B6" s="5"/>
      <c r="C6" s="6">
        <f t="shared" si="0"/>
        <v>0</v>
      </c>
      <c r="D6" s="5"/>
      <c r="E6" s="6"/>
      <c r="F6" s="5"/>
      <c r="G6" s="7">
        <f t="shared" si="1"/>
        <v>0</v>
      </c>
      <c r="J6">
        <f>SUM(J3:J5)</f>
        <v>2115</v>
      </c>
      <c r="K6">
        <v>300</v>
      </c>
      <c r="L6">
        <f>SUM(L3:L5)</f>
        <v>600</v>
      </c>
      <c r="M6">
        <v>615</v>
      </c>
    </row>
    <row r="7" spans="1:13" x14ac:dyDescent="0.2">
      <c r="A7" s="10">
        <v>45996</v>
      </c>
      <c r="B7" s="11"/>
      <c r="C7" s="11">
        <f t="shared" si="0"/>
        <v>0</v>
      </c>
      <c r="D7" s="11"/>
      <c r="E7" s="11"/>
      <c r="F7" s="11"/>
      <c r="G7" s="11">
        <f t="shared" si="1"/>
        <v>0</v>
      </c>
    </row>
    <row r="8" spans="1:13" x14ac:dyDescent="0.2">
      <c r="A8" s="4">
        <v>45997</v>
      </c>
      <c r="B8" s="5"/>
      <c r="C8" s="6">
        <f t="shared" si="0"/>
        <v>0</v>
      </c>
      <c r="D8" s="5"/>
      <c r="E8" s="6"/>
      <c r="F8" s="5"/>
      <c r="G8" s="7">
        <f t="shared" si="1"/>
        <v>0</v>
      </c>
      <c r="I8" s="17">
        <v>45999</v>
      </c>
      <c r="J8">
        <v>722</v>
      </c>
    </row>
    <row r="9" spans="1:13" x14ac:dyDescent="0.2">
      <c r="A9" s="4">
        <v>45998</v>
      </c>
      <c r="B9" s="5"/>
      <c r="C9" s="6">
        <f t="shared" si="0"/>
        <v>0</v>
      </c>
      <c r="D9" s="5"/>
      <c r="E9" s="6"/>
      <c r="F9" s="5"/>
      <c r="G9" s="7">
        <f t="shared" si="1"/>
        <v>0</v>
      </c>
      <c r="I9" s="17">
        <v>46000</v>
      </c>
      <c r="J9">
        <v>389</v>
      </c>
    </row>
    <row r="10" spans="1:13" x14ac:dyDescent="0.2">
      <c r="A10" s="4">
        <v>45999</v>
      </c>
      <c r="B10" s="5">
        <v>1935</v>
      </c>
      <c r="C10" s="6">
        <v>522.45000000000005</v>
      </c>
      <c r="D10" s="5"/>
      <c r="E10" s="6"/>
      <c r="F10" s="5">
        <v>200</v>
      </c>
      <c r="G10" s="7">
        <f t="shared" si="1"/>
        <v>722.45</v>
      </c>
      <c r="I10" s="17">
        <v>46001</v>
      </c>
      <c r="J10">
        <v>487</v>
      </c>
    </row>
    <row r="11" spans="1:13" x14ac:dyDescent="0.2">
      <c r="A11" s="4">
        <v>46000</v>
      </c>
      <c r="B11" s="5">
        <v>700</v>
      </c>
      <c r="C11" s="6">
        <v>189</v>
      </c>
      <c r="D11" s="5"/>
      <c r="E11" s="6"/>
      <c r="F11" s="5">
        <v>200</v>
      </c>
      <c r="G11" s="7">
        <f t="shared" si="1"/>
        <v>389</v>
      </c>
      <c r="I11" s="17">
        <v>46002</v>
      </c>
      <c r="J11">
        <v>689</v>
      </c>
    </row>
    <row r="12" spans="1:13" x14ac:dyDescent="0.2">
      <c r="A12" s="4">
        <v>46001</v>
      </c>
      <c r="B12" s="5">
        <v>1064</v>
      </c>
      <c r="C12" s="6">
        <v>287.27999999999997</v>
      </c>
      <c r="D12" s="5"/>
      <c r="E12" s="6"/>
      <c r="F12" s="5">
        <v>200</v>
      </c>
      <c r="G12" s="7">
        <f t="shared" si="1"/>
        <v>487.28</v>
      </c>
      <c r="H12">
        <v>600</v>
      </c>
      <c r="I12" s="17">
        <v>46003</v>
      </c>
      <c r="J12">
        <v>838</v>
      </c>
      <c r="K12" t="s">
        <v>14</v>
      </c>
      <c r="L12" t="s">
        <v>8</v>
      </c>
      <c r="M12" t="s">
        <v>81</v>
      </c>
    </row>
    <row r="13" spans="1:13" x14ac:dyDescent="0.2">
      <c r="A13" s="4">
        <v>46002</v>
      </c>
      <c r="B13" s="5">
        <v>1445</v>
      </c>
      <c r="C13" s="6">
        <v>390</v>
      </c>
      <c r="D13" s="5">
        <v>550</v>
      </c>
      <c r="E13" s="6">
        <v>99</v>
      </c>
      <c r="F13" s="5">
        <v>200</v>
      </c>
      <c r="G13" s="7">
        <f t="shared" si="1"/>
        <v>689</v>
      </c>
      <c r="J13" s="9">
        <f>SUM(J8:J12)</f>
        <v>3125</v>
      </c>
      <c r="K13">
        <v>800</v>
      </c>
      <c r="L13">
        <v>100</v>
      </c>
      <c r="M13" s="9">
        <v>2225</v>
      </c>
    </row>
    <row r="14" spans="1:13" x14ac:dyDescent="0.2">
      <c r="A14" s="10">
        <v>46003</v>
      </c>
      <c r="B14" s="11">
        <v>2070</v>
      </c>
      <c r="C14" s="11">
        <v>558</v>
      </c>
      <c r="D14" s="11">
        <v>449</v>
      </c>
      <c r="E14" s="11">
        <v>80</v>
      </c>
      <c r="F14" s="11">
        <v>200</v>
      </c>
      <c r="G14" s="11">
        <f t="shared" si="1"/>
        <v>838</v>
      </c>
      <c r="H14">
        <v>200</v>
      </c>
      <c r="I14" s="17">
        <v>46004</v>
      </c>
      <c r="J14">
        <v>1000</v>
      </c>
      <c r="K14" s="12"/>
    </row>
    <row r="15" spans="1:13" x14ac:dyDescent="0.2">
      <c r="A15" s="4">
        <v>46004</v>
      </c>
      <c r="B15" s="5">
        <v>2969</v>
      </c>
      <c r="C15" s="6">
        <f>(B15*0.9*0.3)</f>
        <v>801.63</v>
      </c>
      <c r="D15" s="5"/>
      <c r="E15" s="6"/>
      <c r="F15" s="5">
        <v>200</v>
      </c>
      <c r="G15" s="7">
        <f t="shared" si="1"/>
        <v>1001.63</v>
      </c>
      <c r="I15" s="17">
        <v>46005</v>
      </c>
      <c r="J15">
        <v>536</v>
      </c>
    </row>
    <row r="16" spans="1:13" x14ac:dyDescent="0.2">
      <c r="A16" s="4">
        <v>46005</v>
      </c>
      <c r="B16" s="5">
        <v>1248</v>
      </c>
      <c r="C16" s="6">
        <f t="shared" ref="C16:C33" si="2">(B16*0.9*0.3)</f>
        <v>336.96</v>
      </c>
      <c r="D16" s="5"/>
      <c r="E16" s="6"/>
      <c r="F16" s="5">
        <v>200</v>
      </c>
      <c r="G16" s="7">
        <f t="shared" si="1"/>
        <v>536.96</v>
      </c>
      <c r="I16" s="17">
        <v>46006</v>
      </c>
      <c r="J16">
        <v>485</v>
      </c>
    </row>
    <row r="17" spans="1:13" x14ac:dyDescent="0.2">
      <c r="A17" s="4">
        <v>46006</v>
      </c>
      <c r="B17" s="5">
        <v>1058</v>
      </c>
      <c r="C17" s="6">
        <f t="shared" si="2"/>
        <v>285.66000000000003</v>
      </c>
      <c r="D17" s="5"/>
      <c r="E17" s="6"/>
      <c r="F17" s="5">
        <v>200</v>
      </c>
      <c r="G17" s="7">
        <f t="shared" si="1"/>
        <v>485.66</v>
      </c>
      <c r="I17" s="17">
        <v>46007</v>
      </c>
      <c r="J17">
        <v>818</v>
      </c>
    </row>
    <row r="18" spans="1:13" x14ac:dyDescent="0.2">
      <c r="A18" s="4">
        <v>46007</v>
      </c>
      <c r="B18" s="5">
        <v>2290</v>
      </c>
      <c r="C18" s="6">
        <f t="shared" si="2"/>
        <v>618.29999999999995</v>
      </c>
      <c r="D18" s="5"/>
      <c r="E18" s="6"/>
      <c r="F18" s="5">
        <v>200</v>
      </c>
      <c r="G18" s="7">
        <f t="shared" si="1"/>
        <v>818.3</v>
      </c>
      <c r="I18" s="17">
        <v>46008</v>
      </c>
      <c r="J18">
        <v>916</v>
      </c>
    </row>
    <row r="19" spans="1:13" x14ac:dyDescent="0.2">
      <c r="A19" s="4">
        <v>46008</v>
      </c>
      <c r="B19" s="5">
        <v>2655</v>
      </c>
      <c r="C19" s="6">
        <f t="shared" si="2"/>
        <v>716.85</v>
      </c>
      <c r="D19" s="5"/>
      <c r="E19" s="6"/>
      <c r="F19" s="5">
        <v>200</v>
      </c>
      <c r="G19" s="7">
        <f t="shared" si="1"/>
        <v>916.85</v>
      </c>
      <c r="I19" s="17">
        <v>46010</v>
      </c>
      <c r="J19">
        <v>499</v>
      </c>
      <c r="K19" t="s">
        <v>14</v>
      </c>
      <c r="M19" t="s">
        <v>121</v>
      </c>
    </row>
    <row r="20" spans="1:13" x14ac:dyDescent="0.2">
      <c r="A20" s="4">
        <v>46009</v>
      </c>
      <c r="B20" s="5"/>
      <c r="C20" s="6">
        <f t="shared" si="2"/>
        <v>0</v>
      </c>
      <c r="D20" s="5"/>
      <c r="E20" s="6"/>
      <c r="F20" s="5"/>
      <c r="G20" s="7">
        <f t="shared" si="1"/>
        <v>0</v>
      </c>
      <c r="J20" s="9">
        <f>SUM(J14:J19)</f>
        <v>4254</v>
      </c>
      <c r="K20">
        <v>200</v>
      </c>
      <c r="M20" s="8">
        <v>4054</v>
      </c>
    </row>
    <row r="21" spans="1:13" x14ac:dyDescent="0.2">
      <c r="A21" s="10">
        <v>46010</v>
      </c>
      <c r="B21" s="11">
        <v>1850</v>
      </c>
      <c r="C21" s="11">
        <f t="shared" si="2"/>
        <v>499.5</v>
      </c>
      <c r="D21" s="11"/>
      <c r="E21" s="11"/>
      <c r="F21" s="11"/>
      <c r="G21" s="11">
        <f t="shared" si="1"/>
        <v>499.5</v>
      </c>
      <c r="H21">
        <v>200</v>
      </c>
    </row>
    <row r="22" spans="1:13" x14ac:dyDescent="0.2">
      <c r="A22" s="4">
        <v>46011</v>
      </c>
      <c r="B22" s="5">
        <v>2411</v>
      </c>
      <c r="C22" s="6">
        <f t="shared" si="2"/>
        <v>650.97</v>
      </c>
      <c r="D22" s="5"/>
      <c r="E22" s="6"/>
      <c r="F22" s="5">
        <v>200</v>
      </c>
      <c r="G22" s="7">
        <f t="shared" si="1"/>
        <v>850.97</v>
      </c>
      <c r="I22" s="17">
        <v>46011</v>
      </c>
      <c r="J22">
        <v>850</v>
      </c>
    </row>
    <row r="23" spans="1:13" x14ac:dyDescent="0.2">
      <c r="A23" s="4">
        <v>46012</v>
      </c>
      <c r="B23" s="5"/>
      <c r="C23" s="6">
        <f t="shared" si="2"/>
        <v>0</v>
      </c>
      <c r="D23" s="5"/>
      <c r="E23" s="6"/>
      <c r="F23" s="5"/>
      <c r="G23" s="7">
        <f t="shared" si="1"/>
        <v>0</v>
      </c>
      <c r="I23" s="17">
        <v>46014</v>
      </c>
      <c r="J23">
        <v>789</v>
      </c>
    </row>
    <row r="24" spans="1:13" x14ac:dyDescent="0.2">
      <c r="A24" s="4">
        <v>46013</v>
      </c>
      <c r="B24" s="5"/>
      <c r="C24" s="6">
        <f t="shared" si="2"/>
        <v>0</v>
      </c>
      <c r="D24" s="5"/>
      <c r="E24" s="6"/>
      <c r="F24" s="5"/>
      <c r="G24" s="7">
        <f t="shared" si="1"/>
        <v>0</v>
      </c>
      <c r="I24" s="17">
        <v>46015</v>
      </c>
      <c r="J24">
        <v>698</v>
      </c>
    </row>
    <row r="25" spans="1:13" x14ac:dyDescent="0.2">
      <c r="A25" s="4">
        <v>46014</v>
      </c>
      <c r="B25" s="5">
        <v>2185</v>
      </c>
      <c r="C25" s="6">
        <f t="shared" si="2"/>
        <v>589.94999999999993</v>
      </c>
      <c r="D25" s="5"/>
      <c r="E25" s="6"/>
      <c r="F25" s="5">
        <v>200</v>
      </c>
      <c r="G25" s="7">
        <f t="shared" si="1"/>
        <v>789.94999999999993</v>
      </c>
      <c r="I25" s="17">
        <v>46016</v>
      </c>
      <c r="J25">
        <v>603</v>
      </c>
    </row>
    <row r="26" spans="1:13" x14ac:dyDescent="0.2">
      <c r="A26" s="4">
        <v>46015</v>
      </c>
      <c r="B26" s="5">
        <v>1845</v>
      </c>
      <c r="C26" s="6">
        <f t="shared" si="2"/>
        <v>498.15</v>
      </c>
      <c r="D26" s="5"/>
      <c r="E26" s="6"/>
      <c r="F26" s="5">
        <v>200</v>
      </c>
      <c r="G26" s="7">
        <f t="shared" si="1"/>
        <v>698.15</v>
      </c>
      <c r="I26" s="17">
        <v>46017</v>
      </c>
      <c r="J26">
        <v>704</v>
      </c>
    </row>
    <row r="27" spans="1:13" x14ac:dyDescent="0.2">
      <c r="A27" s="4">
        <v>46016</v>
      </c>
      <c r="B27" s="5">
        <v>1495</v>
      </c>
      <c r="C27" s="6">
        <f t="shared" si="2"/>
        <v>403.65</v>
      </c>
      <c r="D27" s="5"/>
      <c r="E27" s="6"/>
      <c r="F27" s="5">
        <v>200</v>
      </c>
      <c r="G27" s="7">
        <f t="shared" si="1"/>
        <v>603.65</v>
      </c>
      <c r="I27" s="17"/>
      <c r="J27">
        <f>SUM(J22:J26)</f>
        <v>3644</v>
      </c>
    </row>
    <row r="28" spans="1:13" x14ac:dyDescent="0.2">
      <c r="A28" s="10">
        <v>46017</v>
      </c>
      <c r="B28" s="11">
        <v>1869</v>
      </c>
      <c r="C28" s="11">
        <f t="shared" si="2"/>
        <v>504.63</v>
      </c>
      <c r="D28" s="11"/>
      <c r="E28" s="11"/>
      <c r="F28" s="11">
        <v>200</v>
      </c>
      <c r="G28" s="11">
        <f t="shared" si="1"/>
        <v>704.63</v>
      </c>
      <c r="I28" s="17"/>
    </row>
    <row r="29" spans="1:13" x14ac:dyDescent="0.2">
      <c r="A29" s="4">
        <v>46018</v>
      </c>
      <c r="B29" s="5"/>
      <c r="C29" s="6">
        <f>(B29*0.9*0.3)</f>
        <v>0</v>
      </c>
      <c r="D29" s="5"/>
      <c r="E29" s="6"/>
      <c r="F29" s="5"/>
      <c r="G29" s="7">
        <f t="shared" si="1"/>
        <v>0</v>
      </c>
    </row>
    <row r="30" spans="1:13" x14ac:dyDescent="0.2">
      <c r="A30" s="4">
        <v>46019</v>
      </c>
      <c r="B30" s="5"/>
      <c r="C30" s="6">
        <f t="shared" si="2"/>
        <v>0</v>
      </c>
      <c r="D30" s="5"/>
      <c r="E30" s="6"/>
      <c r="F30" s="5"/>
      <c r="G30" s="7">
        <f t="shared" si="1"/>
        <v>0</v>
      </c>
    </row>
    <row r="31" spans="1:13" x14ac:dyDescent="0.2">
      <c r="A31" s="4">
        <v>46020</v>
      </c>
      <c r="B31" s="5"/>
      <c r="C31" s="6">
        <f t="shared" si="2"/>
        <v>0</v>
      </c>
      <c r="D31" s="5"/>
      <c r="E31" s="6"/>
      <c r="F31" s="5"/>
      <c r="G31" s="7">
        <f t="shared" si="1"/>
        <v>0</v>
      </c>
    </row>
    <row r="32" spans="1:13" x14ac:dyDescent="0.2">
      <c r="A32" s="4">
        <v>46021</v>
      </c>
      <c r="B32" s="5"/>
      <c r="C32" s="6">
        <f t="shared" si="2"/>
        <v>0</v>
      </c>
      <c r="D32" s="5"/>
      <c r="E32" s="6"/>
      <c r="F32" s="5"/>
      <c r="G32" s="7">
        <f t="shared" si="1"/>
        <v>0</v>
      </c>
    </row>
    <row r="33" spans="1:7" x14ac:dyDescent="0.2">
      <c r="A33" s="4">
        <v>46022</v>
      </c>
      <c r="B33" s="5"/>
      <c r="C33" s="6">
        <f t="shared" si="2"/>
        <v>0</v>
      </c>
      <c r="D33" s="5"/>
      <c r="E33" s="6"/>
      <c r="F33" s="5"/>
      <c r="G33" s="7">
        <f t="shared" si="1"/>
        <v>0</v>
      </c>
    </row>
    <row r="34" spans="1:7" x14ac:dyDescent="0.2">
      <c r="A34" s="5" t="s">
        <v>6</v>
      </c>
      <c r="B34" s="5"/>
      <c r="C34" s="5"/>
      <c r="D34" s="5"/>
      <c r="E34" s="5"/>
      <c r="F34" s="5"/>
      <c r="G34" s="5"/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41248-DCE8-8243-92D3-14F40DC9CF91}">
  <dimension ref="A1:N34"/>
  <sheetViews>
    <sheetView topLeftCell="C17" zoomScale="149" zoomScaleNormal="149" workbookViewId="0">
      <selection activeCell="L29" sqref="L29"/>
    </sheetView>
  </sheetViews>
  <sheetFormatPr baseColWidth="10" defaultRowHeight="16" x14ac:dyDescent="0.2"/>
  <sheetData>
    <row r="1" spans="1:14" x14ac:dyDescent="0.2">
      <c r="A1" t="s">
        <v>31</v>
      </c>
    </row>
    <row r="2" spans="1:14" ht="34" x14ac:dyDescent="0.2">
      <c r="A2" s="1" t="s">
        <v>0</v>
      </c>
      <c r="B2" s="1" t="s">
        <v>1</v>
      </c>
      <c r="C2" s="2" t="s">
        <v>2</v>
      </c>
      <c r="D2" s="1" t="s">
        <v>3</v>
      </c>
      <c r="E2" s="2" t="s">
        <v>2</v>
      </c>
      <c r="F2" s="1" t="s">
        <v>4</v>
      </c>
      <c r="G2" s="3" t="s">
        <v>5</v>
      </c>
      <c r="H2" t="s">
        <v>38</v>
      </c>
      <c r="I2" t="s">
        <v>22</v>
      </c>
      <c r="J2" t="s">
        <v>23</v>
      </c>
      <c r="K2" s="12" t="s">
        <v>21</v>
      </c>
      <c r="L2" s="12" t="s">
        <v>14</v>
      </c>
      <c r="M2" t="s">
        <v>24</v>
      </c>
    </row>
    <row r="3" spans="1:14" x14ac:dyDescent="0.2">
      <c r="A3" s="4">
        <v>45992</v>
      </c>
      <c r="B3" s="5">
        <v>1098</v>
      </c>
      <c r="C3" s="6">
        <f>(B3*0.9*0.3)</f>
        <v>296.45999999999998</v>
      </c>
      <c r="D3" s="5"/>
      <c r="E3" s="6">
        <f>(D3*0.8*0.15)</f>
        <v>0</v>
      </c>
      <c r="F3" s="5">
        <v>200</v>
      </c>
      <c r="G3" s="7">
        <f>(C3+E3+F3)</f>
        <v>496.46</v>
      </c>
      <c r="H3">
        <v>300</v>
      </c>
      <c r="I3" t="s">
        <v>43</v>
      </c>
      <c r="J3" s="12">
        <v>832</v>
      </c>
      <c r="K3" s="12"/>
      <c r="L3" s="12"/>
      <c r="M3" s="17"/>
    </row>
    <row r="4" spans="1:14" x14ac:dyDescent="0.2">
      <c r="A4" s="4">
        <v>45993</v>
      </c>
      <c r="B4" s="5">
        <v>790</v>
      </c>
      <c r="C4" s="6">
        <f t="shared" ref="C4:C33" si="0">(B4*0.9*0.3)</f>
        <v>213.29999999999998</v>
      </c>
      <c r="D4" s="5"/>
      <c r="E4" s="6">
        <f t="shared" ref="E4:E33" si="1">(D4*0.8*0.15)</f>
        <v>0</v>
      </c>
      <c r="F4" s="5">
        <v>200</v>
      </c>
      <c r="G4" s="7">
        <f t="shared" ref="G4:G33" si="2">(C4+E4+F4)</f>
        <v>413.29999999999995</v>
      </c>
      <c r="H4">
        <v>300</v>
      </c>
      <c r="I4" s="17">
        <v>45991</v>
      </c>
      <c r="J4">
        <v>876</v>
      </c>
    </row>
    <row r="5" spans="1:14" x14ac:dyDescent="0.2">
      <c r="A5" s="4">
        <v>45994</v>
      </c>
      <c r="B5" s="5"/>
      <c r="C5" s="6">
        <f t="shared" si="0"/>
        <v>0</v>
      </c>
      <c r="D5" s="5"/>
      <c r="E5" s="6">
        <f t="shared" si="1"/>
        <v>0</v>
      </c>
      <c r="F5" s="5"/>
      <c r="G5" s="7">
        <f t="shared" si="2"/>
        <v>0</v>
      </c>
      <c r="I5" t="s">
        <v>62</v>
      </c>
      <c r="J5">
        <v>2358</v>
      </c>
      <c r="M5" t="s">
        <v>81</v>
      </c>
    </row>
    <row r="6" spans="1:14" x14ac:dyDescent="0.2">
      <c r="A6" s="4">
        <v>45995</v>
      </c>
      <c r="B6" s="5">
        <v>1680</v>
      </c>
      <c r="C6" s="6">
        <f t="shared" si="0"/>
        <v>453.59999999999997</v>
      </c>
      <c r="D6" s="5"/>
      <c r="E6" s="6">
        <f t="shared" si="1"/>
        <v>0</v>
      </c>
      <c r="F6" s="5">
        <v>200</v>
      </c>
      <c r="G6" s="7">
        <f t="shared" si="2"/>
        <v>653.59999999999991</v>
      </c>
      <c r="J6" s="9">
        <f ca="1">SUM(J3:J6)</f>
        <v>4066</v>
      </c>
      <c r="K6">
        <v>75</v>
      </c>
      <c r="L6">
        <v>600</v>
      </c>
      <c r="M6" s="9">
        <v>3391</v>
      </c>
    </row>
    <row r="7" spans="1:14" x14ac:dyDescent="0.2">
      <c r="A7" s="10">
        <v>45996</v>
      </c>
      <c r="B7" s="11">
        <v>2203</v>
      </c>
      <c r="C7" s="11">
        <f t="shared" si="0"/>
        <v>594.80999999999995</v>
      </c>
      <c r="D7" s="11"/>
      <c r="E7" s="11">
        <f t="shared" si="1"/>
        <v>0</v>
      </c>
      <c r="F7" s="11">
        <v>200</v>
      </c>
      <c r="G7" s="11">
        <f t="shared" si="2"/>
        <v>794.81</v>
      </c>
      <c r="I7" s="17">
        <v>45997</v>
      </c>
      <c r="J7">
        <v>718</v>
      </c>
    </row>
    <row r="8" spans="1:14" x14ac:dyDescent="0.2">
      <c r="A8" s="4">
        <v>45997</v>
      </c>
      <c r="B8" s="5">
        <v>1919</v>
      </c>
      <c r="C8" s="6">
        <f t="shared" si="0"/>
        <v>518.13</v>
      </c>
      <c r="D8" s="5"/>
      <c r="E8" s="6">
        <f t="shared" si="1"/>
        <v>0</v>
      </c>
      <c r="F8" s="5">
        <v>200</v>
      </c>
      <c r="G8" s="7">
        <f t="shared" si="2"/>
        <v>718.13</v>
      </c>
      <c r="I8" s="17">
        <v>45998</v>
      </c>
      <c r="J8">
        <v>838</v>
      </c>
    </row>
    <row r="9" spans="1:14" x14ac:dyDescent="0.2">
      <c r="A9" s="4">
        <v>45998</v>
      </c>
      <c r="B9" s="5">
        <v>2363</v>
      </c>
      <c r="C9" s="6">
        <f t="shared" si="0"/>
        <v>638.0100000000001</v>
      </c>
      <c r="D9" s="5"/>
      <c r="E9" s="6">
        <f t="shared" si="1"/>
        <v>0</v>
      </c>
      <c r="F9" s="5">
        <v>200</v>
      </c>
      <c r="G9" s="7">
        <f t="shared" si="2"/>
        <v>838.0100000000001</v>
      </c>
      <c r="H9">
        <v>300</v>
      </c>
      <c r="I9" s="17">
        <v>45999</v>
      </c>
      <c r="J9">
        <v>493</v>
      </c>
    </row>
    <row r="10" spans="1:14" x14ac:dyDescent="0.2">
      <c r="A10" s="4">
        <v>45999</v>
      </c>
      <c r="B10" s="5">
        <v>1458</v>
      </c>
      <c r="C10" s="6">
        <f t="shared" si="0"/>
        <v>393.66</v>
      </c>
      <c r="D10" s="5"/>
      <c r="E10" s="6">
        <f t="shared" si="1"/>
        <v>0</v>
      </c>
      <c r="F10" s="5">
        <v>100</v>
      </c>
      <c r="G10" s="7">
        <f t="shared" si="2"/>
        <v>493.66</v>
      </c>
      <c r="I10" s="17">
        <v>46000</v>
      </c>
      <c r="J10">
        <v>414</v>
      </c>
    </row>
    <row r="11" spans="1:14" x14ac:dyDescent="0.2">
      <c r="A11" s="4">
        <v>46000</v>
      </c>
      <c r="B11" s="5">
        <v>795</v>
      </c>
      <c r="C11" s="6">
        <f t="shared" si="0"/>
        <v>214.65</v>
      </c>
      <c r="D11" s="5"/>
      <c r="E11" s="6">
        <f t="shared" si="1"/>
        <v>0</v>
      </c>
      <c r="F11" s="5">
        <v>200</v>
      </c>
      <c r="G11" s="7">
        <f t="shared" si="2"/>
        <v>414.65</v>
      </c>
      <c r="I11" s="17">
        <v>46001</v>
      </c>
      <c r="J11">
        <v>636</v>
      </c>
    </row>
    <row r="12" spans="1:14" x14ac:dyDescent="0.2">
      <c r="A12" s="4">
        <v>46001</v>
      </c>
      <c r="B12" s="5">
        <v>1615</v>
      </c>
      <c r="C12" s="6">
        <f t="shared" si="0"/>
        <v>436.05</v>
      </c>
      <c r="D12" s="5"/>
      <c r="E12" s="6">
        <f t="shared" si="1"/>
        <v>0</v>
      </c>
      <c r="F12" s="5">
        <v>200</v>
      </c>
      <c r="G12" s="7">
        <f t="shared" si="2"/>
        <v>636.04999999999995</v>
      </c>
      <c r="I12" s="17">
        <v>46002</v>
      </c>
      <c r="J12">
        <v>866</v>
      </c>
    </row>
    <row r="13" spans="1:14" x14ac:dyDescent="0.2">
      <c r="A13" s="4">
        <v>46002</v>
      </c>
      <c r="B13" s="5">
        <v>2470</v>
      </c>
      <c r="C13" s="6">
        <f t="shared" si="0"/>
        <v>666.9</v>
      </c>
      <c r="D13" s="5"/>
      <c r="E13" s="6">
        <f t="shared" si="1"/>
        <v>0</v>
      </c>
      <c r="F13" s="5">
        <v>200</v>
      </c>
      <c r="G13" s="7">
        <f t="shared" si="2"/>
        <v>866.9</v>
      </c>
      <c r="I13" s="17">
        <v>46003</v>
      </c>
      <c r="J13">
        <v>907</v>
      </c>
      <c r="K13" t="s">
        <v>14</v>
      </c>
      <c r="L13" t="s">
        <v>79</v>
      </c>
      <c r="M13" t="s">
        <v>81</v>
      </c>
    </row>
    <row r="14" spans="1:14" x14ac:dyDescent="0.2">
      <c r="A14" s="10">
        <v>46003</v>
      </c>
      <c r="B14" s="11">
        <v>2620</v>
      </c>
      <c r="C14" s="11">
        <f t="shared" si="0"/>
        <v>707.4</v>
      </c>
      <c r="D14" s="11"/>
      <c r="E14" s="11">
        <f t="shared" si="1"/>
        <v>0</v>
      </c>
      <c r="F14" s="11">
        <v>200</v>
      </c>
      <c r="G14" s="11">
        <f t="shared" si="2"/>
        <v>907.4</v>
      </c>
      <c r="J14" s="9">
        <f>SUM(J7:J13)</f>
        <v>4872</v>
      </c>
      <c r="K14">
        <v>300</v>
      </c>
      <c r="L14">
        <v>75</v>
      </c>
      <c r="M14" s="9">
        <v>4497</v>
      </c>
      <c r="N14" t="s">
        <v>83</v>
      </c>
    </row>
    <row r="15" spans="1:14" x14ac:dyDescent="0.2">
      <c r="A15" s="4">
        <v>46004</v>
      </c>
      <c r="B15" s="5">
        <v>2125</v>
      </c>
      <c r="C15" s="6">
        <f t="shared" si="0"/>
        <v>573.75</v>
      </c>
      <c r="D15" s="5"/>
      <c r="E15" s="6">
        <f t="shared" si="1"/>
        <v>0</v>
      </c>
      <c r="F15" s="5">
        <v>200</v>
      </c>
      <c r="G15" s="7">
        <f t="shared" si="2"/>
        <v>773.75</v>
      </c>
      <c r="I15" s="17">
        <v>46004</v>
      </c>
      <c r="J15">
        <v>773</v>
      </c>
    </row>
    <row r="16" spans="1:14" x14ac:dyDescent="0.2">
      <c r="A16" s="4">
        <v>46005</v>
      </c>
      <c r="B16" s="5">
        <v>1820</v>
      </c>
      <c r="C16" s="6">
        <f t="shared" si="0"/>
        <v>491.4</v>
      </c>
      <c r="D16" s="5"/>
      <c r="E16" s="6">
        <f t="shared" si="1"/>
        <v>0</v>
      </c>
      <c r="F16" s="5">
        <v>200</v>
      </c>
      <c r="G16" s="7">
        <f t="shared" si="2"/>
        <v>691.4</v>
      </c>
      <c r="I16" s="17">
        <v>46005</v>
      </c>
      <c r="J16">
        <v>691</v>
      </c>
    </row>
    <row r="17" spans="1:13" x14ac:dyDescent="0.2">
      <c r="A17" s="4">
        <v>46006</v>
      </c>
      <c r="B17" s="5">
        <v>1620</v>
      </c>
      <c r="C17" s="6">
        <f t="shared" si="0"/>
        <v>437.4</v>
      </c>
      <c r="D17" s="5"/>
      <c r="E17" s="6">
        <f t="shared" si="1"/>
        <v>0</v>
      </c>
      <c r="F17" s="5">
        <v>200</v>
      </c>
      <c r="G17" s="7">
        <f t="shared" si="2"/>
        <v>637.4</v>
      </c>
      <c r="I17" s="17">
        <v>46006</v>
      </c>
      <c r="J17">
        <v>637</v>
      </c>
    </row>
    <row r="18" spans="1:13" x14ac:dyDescent="0.2">
      <c r="A18" s="4">
        <v>46007</v>
      </c>
      <c r="B18" s="5">
        <v>2290</v>
      </c>
      <c r="C18" s="6">
        <f t="shared" si="0"/>
        <v>618.29999999999995</v>
      </c>
      <c r="D18" s="5"/>
      <c r="E18" s="6">
        <f t="shared" si="1"/>
        <v>0</v>
      </c>
      <c r="F18" s="5">
        <v>200</v>
      </c>
      <c r="G18" s="7">
        <f t="shared" si="2"/>
        <v>818.3</v>
      </c>
      <c r="I18" s="17">
        <v>46007</v>
      </c>
      <c r="J18">
        <v>818</v>
      </c>
    </row>
    <row r="19" spans="1:13" x14ac:dyDescent="0.2">
      <c r="A19" s="4">
        <v>46008</v>
      </c>
      <c r="B19" s="5"/>
      <c r="C19" s="6">
        <f t="shared" si="0"/>
        <v>0</v>
      </c>
      <c r="D19" s="5"/>
      <c r="E19" s="6">
        <f t="shared" si="1"/>
        <v>0</v>
      </c>
      <c r="F19" s="5"/>
      <c r="G19" s="7">
        <f t="shared" si="2"/>
        <v>0</v>
      </c>
      <c r="I19" s="17">
        <v>46009</v>
      </c>
      <c r="J19">
        <v>834</v>
      </c>
    </row>
    <row r="20" spans="1:13" x14ac:dyDescent="0.2">
      <c r="A20" s="4">
        <v>46009</v>
      </c>
      <c r="B20" s="5">
        <v>2350</v>
      </c>
      <c r="C20" s="6">
        <f t="shared" si="0"/>
        <v>634.5</v>
      </c>
      <c r="D20" s="5"/>
      <c r="E20" s="6">
        <f t="shared" si="1"/>
        <v>0</v>
      </c>
      <c r="F20" s="5">
        <v>200</v>
      </c>
      <c r="G20" s="7">
        <f t="shared" si="2"/>
        <v>834.5</v>
      </c>
      <c r="I20" s="17">
        <v>46010</v>
      </c>
      <c r="J20">
        <v>762</v>
      </c>
      <c r="K20" t="s">
        <v>79</v>
      </c>
      <c r="M20" t="s">
        <v>81</v>
      </c>
    </row>
    <row r="21" spans="1:13" x14ac:dyDescent="0.2">
      <c r="A21" s="10">
        <v>46010</v>
      </c>
      <c r="B21" s="11">
        <v>2083</v>
      </c>
      <c r="C21" s="11">
        <f t="shared" si="0"/>
        <v>562.41</v>
      </c>
      <c r="D21" s="11"/>
      <c r="E21" s="11">
        <f t="shared" si="1"/>
        <v>0</v>
      </c>
      <c r="F21" s="11">
        <v>200</v>
      </c>
      <c r="G21" s="11">
        <f t="shared" si="2"/>
        <v>762.41</v>
      </c>
      <c r="J21" s="9">
        <f>SUM(J15:J20)</f>
        <v>4515</v>
      </c>
      <c r="K21">
        <v>75</v>
      </c>
      <c r="M21" s="9">
        <v>4440</v>
      </c>
    </row>
    <row r="22" spans="1:13" x14ac:dyDescent="0.2">
      <c r="A22" s="4">
        <v>46011</v>
      </c>
      <c r="B22" s="5">
        <v>2680</v>
      </c>
      <c r="C22" s="6">
        <f t="shared" si="0"/>
        <v>723.6</v>
      </c>
      <c r="D22" s="5"/>
      <c r="E22" s="6">
        <f t="shared" si="1"/>
        <v>0</v>
      </c>
      <c r="F22" s="5">
        <v>200</v>
      </c>
      <c r="G22" s="7">
        <f t="shared" si="2"/>
        <v>923.6</v>
      </c>
      <c r="I22" s="17">
        <v>46011</v>
      </c>
      <c r="J22">
        <v>923</v>
      </c>
    </row>
    <row r="23" spans="1:13" x14ac:dyDescent="0.2">
      <c r="A23" s="4">
        <v>46012</v>
      </c>
      <c r="B23" s="5">
        <v>3479</v>
      </c>
      <c r="C23" s="6">
        <f t="shared" si="0"/>
        <v>939.32999999999993</v>
      </c>
      <c r="D23" s="5"/>
      <c r="E23" s="6">
        <f t="shared" si="1"/>
        <v>0</v>
      </c>
      <c r="F23" s="5">
        <v>200</v>
      </c>
      <c r="G23" s="7">
        <f t="shared" si="2"/>
        <v>1139.33</v>
      </c>
      <c r="I23" s="17">
        <v>46012</v>
      </c>
      <c r="J23">
        <v>1139</v>
      </c>
    </row>
    <row r="24" spans="1:13" x14ac:dyDescent="0.2">
      <c r="A24" s="4">
        <v>46013</v>
      </c>
      <c r="B24" s="5">
        <v>2445</v>
      </c>
      <c r="C24" s="6">
        <f t="shared" si="0"/>
        <v>660.15</v>
      </c>
      <c r="D24" s="5"/>
      <c r="E24" s="6">
        <f t="shared" si="1"/>
        <v>0</v>
      </c>
      <c r="F24" s="5">
        <v>200</v>
      </c>
      <c r="G24" s="7">
        <f t="shared" si="2"/>
        <v>860.15</v>
      </c>
      <c r="I24" s="17">
        <v>46013</v>
      </c>
      <c r="J24">
        <v>860</v>
      </c>
    </row>
    <row r="25" spans="1:13" x14ac:dyDescent="0.2">
      <c r="A25" s="4">
        <v>46014</v>
      </c>
      <c r="B25" s="5">
        <v>2455</v>
      </c>
      <c r="C25" s="6">
        <f t="shared" si="0"/>
        <v>662.85</v>
      </c>
      <c r="D25" s="5"/>
      <c r="E25" s="6">
        <f t="shared" si="1"/>
        <v>0</v>
      </c>
      <c r="F25" s="5">
        <v>200</v>
      </c>
      <c r="G25" s="7">
        <f t="shared" si="2"/>
        <v>862.85</v>
      </c>
      <c r="I25" s="17">
        <v>46014</v>
      </c>
      <c r="J25">
        <v>862</v>
      </c>
    </row>
    <row r="26" spans="1:13" x14ac:dyDescent="0.2">
      <c r="A26" s="4">
        <v>46015</v>
      </c>
      <c r="B26" s="5">
        <v>1220</v>
      </c>
      <c r="C26" s="6">
        <f t="shared" si="0"/>
        <v>329.4</v>
      </c>
      <c r="D26" s="5"/>
      <c r="E26" s="6">
        <f t="shared" si="1"/>
        <v>0</v>
      </c>
      <c r="F26" s="5">
        <v>200</v>
      </c>
      <c r="G26" s="7">
        <f t="shared" si="2"/>
        <v>529.4</v>
      </c>
      <c r="I26" s="17">
        <v>46015</v>
      </c>
      <c r="J26">
        <v>529</v>
      </c>
    </row>
    <row r="27" spans="1:13" x14ac:dyDescent="0.2">
      <c r="A27" s="4">
        <v>46016</v>
      </c>
      <c r="B27" s="5"/>
      <c r="C27" s="6">
        <f t="shared" si="0"/>
        <v>0</v>
      </c>
      <c r="D27" s="5"/>
      <c r="E27" s="6">
        <f t="shared" si="1"/>
        <v>0</v>
      </c>
      <c r="F27" s="5"/>
      <c r="G27" s="7">
        <f t="shared" si="2"/>
        <v>0</v>
      </c>
      <c r="I27" s="17">
        <v>46017</v>
      </c>
      <c r="J27">
        <v>923</v>
      </c>
      <c r="K27" t="s">
        <v>153</v>
      </c>
      <c r="L27" t="s">
        <v>81</v>
      </c>
    </row>
    <row r="28" spans="1:13" x14ac:dyDescent="0.2">
      <c r="A28" s="10">
        <v>46017</v>
      </c>
      <c r="B28" s="11">
        <v>2680</v>
      </c>
      <c r="C28" s="11">
        <f t="shared" si="0"/>
        <v>723.6</v>
      </c>
      <c r="D28" s="11"/>
      <c r="E28" s="11">
        <f t="shared" si="1"/>
        <v>0</v>
      </c>
      <c r="F28" s="11">
        <v>200</v>
      </c>
      <c r="G28" s="11">
        <f t="shared" si="2"/>
        <v>923.6</v>
      </c>
      <c r="J28">
        <f>SUM(J22:J27)</f>
        <v>5236</v>
      </c>
      <c r="L28">
        <v>5161</v>
      </c>
    </row>
    <row r="29" spans="1:13" x14ac:dyDescent="0.2">
      <c r="A29" s="4">
        <v>46018</v>
      </c>
      <c r="B29" s="5"/>
      <c r="C29" s="6">
        <f t="shared" si="0"/>
        <v>0</v>
      </c>
      <c r="D29" s="5"/>
      <c r="E29" s="6">
        <f t="shared" si="1"/>
        <v>0</v>
      </c>
      <c r="F29" s="5"/>
      <c r="G29" s="7">
        <f t="shared" si="2"/>
        <v>0</v>
      </c>
    </row>
    <row r="30" spans="1:13" x14ac:dyDescent="0.2">
      <c r="A30" s="4">
        <v>46019</v>
      </c>
      <c r="B30" s="5"/>
      <c r="C30" s="6">
        <f t="shared" si="0"/>
        <v>0</v>
      </c>
      <c r="D30" s="5"/>
      <c r="E30" s="6">
        <f t="shared" si="1"/>
        <v>0</v>
      </c>
      <c r="F30" s="5"/>
      <c r="G30" s="7">
        <f t="shared" si="2"/>
        <v>0</v>
      </c>
    </row>
    <row r="31" spans="1:13" x14ac:dyDescent="0.2">
      <c r="A31" s="4">
        <v>46020</v>
      </c>
      <c r="B31" s="5"/>
      <c r="C31" s="6">
        <f t="shared" si="0"/>
        <v>0</v>
      </c>
      <c r="D31" s="5"/>
      <c r="E31" s="6">
        <f t="shared" si="1"/>
        <v>0</v>
      </c>
      <c r="F31" s="5"/>
      <c r="G31" s="7">
        <f t="shared" si="2"/>
        <v>0</v>
      </c>
    </row>
    <row r="32" spans="1:13" x14ac:dyDescent="0.2">
      <c r="A32" s="4">
        <v>46021</v>
      </c>
      <c r="B32" s="5"/>
      <c r="C32" s="6">
        <f t="shared" si="0"/>
        <v>0</v>
      </c>
      <c r="D32" s="5"/>
      <c r="E32" s="6">
        <f t="shared" si="1"/>
        <v>0</v>
      </c>
      <c r="F32" s="5"/>
      <c r="G32" s="7">
        <f t="shared" si="2"/>
        <v>0</v>
      </c>
    </row>
    <row r="33" spans="1:7" x14ac:dyDescent="0.2">
      <c r="A33" s="4">
        <v>46022</v>
      </c>
      <c r="B33" s="5"/>
      <c r="C33" s="6">
        <f t="shared" si="0"/>
        <v>0</v>
      </c>
      <c r="D33" s="5"/>
      <c r="E33" s="6">
        <f t="shared" si="1"/>
        <v>0</v>
      </c>
      <c r="F33" s="5"/>
      <c r="G33" s="7">
        <f t="shared" si="2"/>
        <v>0</v>
      </c>
    </row>
    <row r="34" spans="1:7" x14ac:dyDescent="0.2">
      <c r="A34" s="5" t="s">
        <v>6</v>
      </c>
      <c r="B34" s="5"/>
      <c r="C34" s="5"/>
      <c r="D34" s="5"/>
      <c r="E34" s="5"/>
      <c r="F34" s="5"/>
      <c r="G34" s="5"/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A956-E212-9149-9FF8-8B22617726CD}">
  <dimension ref="A1:L34"/>
  <sheetViews>
    <sheetView topLeftCell="A14" zoomScale="150" zoomScaleNormal="150" workbookViewId="0">
      <selection activeCell="I23" sqref="I23:J30"/>
    </sheetView>
  </sheetViews>
  <sheetFormatPr baseColWidth="10" defaultRowHeight="16" x14ac:dyDescent="0.2"/>
  <sheetData>
    <row r="1" spans="1:12" x14ac:dyDescent="0.2">
      <c r="A1" t="s">
        <v>32</v>
      </c>
    </row>
    <row r="2" spans="1:12" ht="34" x14ac:dyDescent="0.2">
      <c r="A2" s="1" t="s">
        <v>0</v>
      </c>
      <c r="B2" s="1" t="s">
        <v>1</v>
      </c>
      <c r="C2" s="2" t="s">
        <v>2</v>
      </c>
      <c r="D2" s="1" t="s">
        <v>3</v>
      </c>
      <c r="E2" s="2" t="s">
        <v>2</v>
      </c>
      <c r="F2" s="1" t="s">
        <v>4</v>
      </c>
      <c r="G2" s="3" t="s">
        <v>5</v>
      </c>
      <c r="I2" t="s">
        <v>22</v>
      </c>
      <c r="J2" t="s">
        <v>23</v>
      </c>
      <c r="K2" s="12" t="s">
        <v>21</v>
      </c>
      <c r="L2" t="s">
        <v>24</v>
      </c>
    </row>
    <row r="3" spans="1:12" x14ac:dyDescent="0.2">
      <c r="A3" s="4">
        <v>45992</v>
      </c>
      <c r="B3" s="5"/>
      <c r="C3" s="6">
        <f>(B3*0.9*0.1)</f>
        <v>0</v>
      </c>
      <c r="D3" s="5">
        <v>270</v>
      </c>
      <c r="E3" s="6"/>
      <c r="F3" s="5"/>
      <c r="G3" s="7">
        <f>(C3+E3+F3)</f>
        <v>0</v>
      </c>
      <c r="I3" t="s">
        <v>43</v>
      </c>
      <c r="J3" s="12">
        <v>117</v>
      </c>
      <c r="K3" s="12"/>
      <c r="L3" s="17"/>
    </row>
    <row r="4" spans="1:12" x14ac:dyDescent="0.2">
      <c r="A4" s="4">
        <v>45993</v>
      </c>
      <c r="B4" s="5">
        <v>1364</v>
      </c>
      <c r="C4" s="6">
        <f t="shared" ref="C4:C22" si="0">(B4*0.9*0.1)</f>
        <v>122.76000000000002</v>
      </c>
      <c r="D4" s="5"/>
      <c r="E4" s="6"/>
      <c r="F4" s="5"/>
      <c r="G4" s="7">
        <f t="shared" ref="G4:G33" si="1">(C4+E4+F4)</f>
        <v>122.76000000000002</v>
      </c>
      <c r="I4" t="s">
        <v>44</v>
      </c>
      <c r="J4">
        <v>120</v>
      </c>
    </row>
    <row r="5" spans="1:12" x14ac:dyDescent="0.2">
      <c r="A5" s="4">
        <v>45994</v>
      </c>
      <c r="B5" s="5">
        <v>1085</v>
      </c>
      <c r="C5" s="6">
        <f t="shared" si="0"/>
        <v>97.65</v>
      </c>
      <c r="D5" s="5"/>
      <c r="E5" s="6"/>
      <c r="F5" s="5"/>
      <c r="G5" s="7">
        <f t="shared" si="1"/>
        <v>97.65</v>
      </c>
      <c r="I5" t="s">
        <v>45</v>
      </c>
      <c r="J5">
        <v>371.31</v>
      </c>
    </row>
    <row r="6" spans="1:12" x14ac:dyDescent="0.2">
      <c r="A6" s="4">
        <v>45995</v>
      </c>
      <c r="B6" s="5"/>
      <c r="C6" s="6">
        <f t="shared" si="0"/>
        <v>0</v>
      </c>
      <c r="D6" s="5"/>
      <c r="E6" s="6"/>
      <c r="F6" s="5"/>
      <c r="G6" s="7">
        <f t="shared" si="1"/>
        <v>0</v>
      </c>
      <c r="I6" s="9"/>
      <c r="J6">
        <f>SUM(J3:J5)</f>
        <v>608.30999999999995</v>
      </c>
    </row>
    <row r="7" spans="1:12" x14ac:dyDescent="0.2">
      <c r="A7" s="10">
        <v>45996</v>
      </c>
      <c r="B7" s="11">
        <v>1010</v>
      </c>
      <c r="C7" s="11">
        <f t="shared" si="0"/>
        <v>90.9</v>
      </c>
      <c r="D7" s="11">
        <v>1145</v>
      </c>
      <c r="E7" s="11">
        <v>60</v>
      </c>
      <c r="F7" s="11"/>
      <c r="G7" s="11">
        <f t="shared" si="1"/>
        <v>150.9</v>
      </c>
      <c r="I7" s="9">
        <v>124.72</v>
      </c>
    </row>
    <row r="8" spans="1:12" x14ac:dyDescent="0.2">
      <c r="A8" s="4">
        <v>45997</v>
      </c>
      <c r="B8" s="5">
        <v>1559</v>
      </c>
      <c r="C8" s="6">
        <f>(B8*0.8*0.1)</f>
        <v>124.72000000000001</v>
      </c>
      <c r="D8" s="5"/>
      <c r="E8" s="6"/>
      <c r="F8" s="5"/>
      <c r="G8" s="7">
        <f t="shared" si="1"/>
        <v>124.72000000000001</v>
      </c>
      <c r="I8" s="9">
        <v>170</v>
      </c>
    </row>
    <row r="9" spans="1:12" x14ac:dyDescent="0.2">
      <c r="A9" s="4">
        <v>45998</v>
      </c>
      <c r="B9" s="5">
        <v>1899</v>
      </c>
      <c r="C9" s="6">
        <f t="shared" ref="C9:C33" si="2">(B9*0.8*0.1)</f>
        <v>151.92000000000002</v>
      </c>
      <c r="D9" s="5"/>
      <c r="E9" s="6"/>
      <c r="F9" s="5"/>
      <c r="G9" s="7">
        <f t="shared" si="1"/>
        <v>151.92000000000002</v>
      </c>
      <c r="I9" s="9">
        <v>157</v>
      </c>
    </row>
    <row r="10" spans="1:12" x14ac:dyDescent="0.2">
      <c r="A10" s="4">
        <v>45999</v>
      </c>
      <c r="B10" s="5">
        <v>745</v>
      </c>
      <c r="C10" s="6">
        <f t="shared" si="2"/>
        <v>59.6</v>
      </c>
      <c r="D10" s="5">
        <v>1500</v>
      </c>
      <c r="E10" s="6">
        <v>90</v>
      </c>
      <c r="F10" s="5"/>
      <c r="G10" s="7">
        <f t="shared" si="1"/>
        <v>149.6</v>
      </c>
      <c r="I10" s="9">
        <v>15</v>
      </c>
    </row>
    <row r="11" spans="1:12" x14ac:dyDescent="0.2">
      <c r="A11" s="4">
        <v>46000</v>
      </c>
      <c r="B11" s="5">
        <v>175</v>
      </c>
      <c r="C11" s="6">
        <f t="shared" si="2"/>
        <v>14</v>
      </c>
      <c r="D11" s="5"/>
      <c r="E11" s="6"/>
      <c r="F11" s="5"/>
      <c r="G11" s="7">
        <f t="shared" si="1"/>
        <v>14</v>
      </c>
      <c r="I11" s="9">
        <v>95</v>
      </c>
    </row>
    <row r="12" spans="1:12" x14ac:dyDescent="0.2">
      <c r="A12" s="4">
        <v>46001</v>
      </c>
      <c r="B12" s="5">
        <v>889</v>
      </c>
      <c r="C12" s="6">
        <f t="shared" si="2"/>
        <v>71.12</v>
      </c>
      <c r="D12" s="5">
        <v>395</v>
      </c>
      <c r="E12" s="6">
        <v>15</v>
      </c>
      <c r="F12" s="5"/>
      <c r="G12" s="7">
        <f t="shared" si="1"/>
        <v>86.12</v>
      </c>
      <c r="I12" s="9">
        <v>166</v>
      </c>
      <c r="J12" t="s">
        <v>81</v>
      </c>
    </row>
    <row r="13" spans="1:12" x14ac:dyDescent="0.2">
      <c r="A13" s="4">
        <v>46002</v>
      </c>
      <c r="B13" s="5">
        <v>297</v>
      </c>
      <c r="C13" s="6">
        <f t="shared" si="2"/>
        <v>23.760000000000005</v>
      </c>
      <c r="D13" s="5">
        <v>2748</v>
      </c>
      <c r="E13" s="6">
        <v>140</v>
      </c>
      <c r="F13" s="5"/>
      <c r="G13" s="7">
        <f t="shared" si="1"/>
        <v>163.76</v>
      </c>
      <c r="I13" s="9">
        <f>SUM(I6:I12)</f>
        <v>727.72</v>
      </c>
      <c r="J13">
        <v>743</v>
      </c>
    </row>
    <row r="14" spans="1:12" x14ac:dyDescent="0.2">
      <c r="A14" s="10">
        <v>46003</v>
      </c>
      <c r="B14" s="11"/>
      <c r="C14" s="6">
        <f t="shared" si="2"/>
        <v>0</v>
      </c>
      <c r="D14" s="11"/>
      <c r="E14" s="11"/>
      <c r="F14" s="11"/>
      <c r="G14" s="11">
        <f t="shared" si="1"/>
        <v>0</v>
      </c>
    </row>
    <row r="15" spans="1:12" x14ac:dyDescent="0.2">
      <c r="A15" s="4">
        <v>46004</v>
      </c>
      <c r="B15" s="5">
        <v>903</v>
      </c>
      <c r="C15" s="6">
        <f t="shared" si="2"/>
        <v>72.240000000000009</v>
      </c>
      <c r="D15" s="5">
        <v>1345</v>
      </c>
      <c r="E15" s="6">
        <v>45</v>
      </c>
      <c r="F15" s="5"/>
      <c r="G15" s="7">
        <f t="shared" si="1"/>
        <v>117.24000000000001</v>
      </c>
      <c r="I15" s="9">
        <v>117</v>
      </c>
    </row>
    <row r="16" spans="1:12" x14ac:dyDescent="0.2">
      <c r="A16" s="4">
        <v>46005</v>
      </c>
      <c r="B16" s="5">
        <v>1478</v>
      </c>
      <c r="C16" s="6">
        <f t="shared" si="2"/>
        <v>118.24000000000001</v>
      </c>
      <c r="D16" s="5"/>
      <c r="E16" s="6"/>
      <c r="F16" s="5"/>
      <c r="G16" s="7">
        <f t="shared" si="1"/>
        <v>118.24000000000001</v>
      </c>
      <c r="I16" s="9">
        <v>118</v>
      </c>
    </row>
    <row r="17" spans="1:10" x14ac:dyDescent="0.2">
      <c r="A17" s="4">
        <v>46006</v>
      </c>
      <c r="B17" s="5">
        <v>980</v>
      </c>
      <c r="C17" s="6">
        <f t="shared" si="2"/>
        <v>78.400000000000006</v>
      </c>
      <c r="D17" s="5"/>
      <c r="E17" s="6"/>
      <c r="F17" s="5"/>
      <c r="G17" s="7">
        <f t="shared" si="1"/>
        <v>78.400000000000006</v>
      </c>
      <c r="I17" s="9">
        <v>78</v>
      </c>
    </row>
    <row r="18" spans="1:10" x14ac:dyDescent="0.2">
      <c r="A18" s="4">
        <v>46007</v>
      </c>
      <c r="B18" s="5">
        <v>1180</v>
      </c>
      <c r="C18" s="6">
        <f t="shared" si="2"/>
        <v>94.4</v>
      </c>
      <c r="D18" s="5">
        <v>1500</v>
      </c>
      <c r="E18" s="6">
        <v>90</v>
      </c>
      <c r="F18" s="5"/>
      <c r="G18" s="7">
        <f t="shared" si="1"/>
        <v>184.4</v>
      </c>
      <c r="I18" s="9">
        <v>184</v>
      </c>
    </row>
    <row r="19" spans="1:10" x14ac:dyDescent="0.2">
      <c r="A19" s="4">
        <v>46008</v>
      </c>
      <c r="B19" s="5">
        <v>1716</v>
      </c>
      <c r="C19" s="6">
        <f t="shared" si="2"/>
        <v>137.28000000000003</v>
      </c>
      <c r="D19" s="5"/>
      <c r="E19" s="6"/>
      <c r="F19" s="5"/>
      <c r="G19" s="7">
        <f t="shared" si="1"/>
        <v>137.28000000000003</v>
      </c>
      <c r="I19" s="9">
        <v>137</v>
      </c>
    </row>
    <row r="20" spans="1:10" x14ac:dyDescent="0.2">
      <c r="A20" s="4">
        <v>46009</v>
      </c>
      <c r="B20" s="5">
        <v>1419</v>
      </c>
      <c r="C20" s="6">
        <f t="shared" si="2"/>
        <v>113.52000000000001</v>
      </c>
      <c r="D20" s="5">
        <v>993</v>
      </c>
      <c r="E20" s="6">
        <v>79</v>
      </c>
      <c r="F20" s="5"/>
      <c r="G20" s="7">
        <f t="shared" si="1"/>
        <v>192.52</v>
      </c>
      <c r="I20" s="9">
        <v>192</v>
      </c>
    </row>
    <row r="21" spans="1:10" x14ac:dyDescent="0.2">
      <c r="A21" s="10">
        <v>46010</v>
      </c>
      <c r="B21" s="11">
        <v>1588</v>
      </c>
      <c r="C21" s="11">
        <f t="shared" si="2"/>
        <v>127.04000000000002</v>
      </c>
      <c r="D21" s="11"/>
      <c r="E21" s="11"/>
      <c r="F21" s="11"/>
      <c r="G21" s="11">
        <f t="shared" si="1"/>
        <v>127.04000000000002</v>
      </c>
      <c r="I21" s="9">
        <v>127</v>
      </c>
    </row>
    <row r="22" spans="1:10" x14ac:dyDescent="0.2">
      <c r="A22" s="4">
        <v>46011</v>
      </c>
      <c r="B22" s="5">
        <v>1945</v>
      </c>
      <c r="C22" s="6">
        <f t="shared" si="0"/>
        <v>175.05</v>
      </c>
      <c r="D22" s="5">
        <v>399</v>
      </c>
      <c r="E22" s="6">
        <v>15</v>
      </c>
      <c r="F22" s="5"/>
      <c r="G22" s="7">
        <f t="shared" si="1"/>
        <v>190.05</v>
      </c>
      <c r="I22">
        <f>SUM(I15:I21)</f>
        <v>953</v>
      </c>
    </row>
    <row r="23" spans="1:10" x14ac:dyDescent="0.2">
      <c r="A23" s="4">
        <v>46012</v>
      </c>
      <c r="B23" s="5">
        <v>2178</v>
      </c>
      <c r="C23" s="6">
        <f t="shared" si="2"/>
        <v>174.24</v>
      </c>
      <c r="D23" s="5"/>
      <c r="E23" s="6"/>
      <c r="F23" s="5"/>
      <c r="G23" s="7">
        <f t="shared" si="1"/>
        <v>174.24</v>
      </c>
      <c r="I23" s="17">
        <v>46011</v>
      </c>
      <c r="J23">
        <v>190</v>
      </c>
    </row>
    <row r="24" spans="1:10" x14ac:dyDescent="0.2">
      <c r="A24" s="4">
        <v>46013</v>
      </c>
      <c r="B24" s="5">
        <v>480</v>
      </c>
      <c r="C24" s="6">
        <f t="shared" si="2"/>
        <v>38.400000000000006</v>
      </c>
      <c r="D24" s="5">
        <v>2195</v>
      </c>
      <c r="E24" s="6">
        <v>90</v>
      </c>
      <c r="F24" s="5"/>
      <c r="G24" s="7">
        <f t="shared" si="1"/>
        <v>128.4</v>
      </c>
      <c r="I24" s="17">
        <v>46012</v>
      </c>
      <c r="J24">
        <v>174</v>
      </c>
    </row>
    <row r="25" spans="1:10" x14ac:dyDescent="0.2">
      <c r="A25" s="4">
        <v>46014</v>
      </c>
      <c r="B25" s="5">
        <v>1430</v>
      </c>
      <c r="C25" s="6">
        <f t="shared" si="2"/>
        <v>114.4</v>
      </c>
      <c r="D25" s="5">
        <v>1995</v>
      </c>
      <c r="E25" s="6">
        <v>60</v>
      </c>
      <c r="F25" s="5"/>
      <c r="G25" s="7">
        <f t="shared" si="1"/>
        <v>174.4</v>
      </c>
      <c r="I25" s="17">
        <v>46013</v>
      </c>
      <c r="J25">
        <v>128</v>
      </c>
    </row>
    <row r="26" spans="1:10" x14ac:dyDescent="0.2">
      <c r="A26" s="4">
        <v>46015</v>
      </c>
      <c r="B26" s="5">
        <v>1470</v>
      </c>
      <c r="C26" s="6">
        <f t="shared" si="2"/>
        <v>117.60000000000001</v>
      </c>
      <c r="D26" s="5"/>
      <c r="E26" s="6"/>
      <c r="F26" s="5"/>
      <c r="G26" s="7">
        <f t="shared" si="1"/>
        <v>117.60000000000001</v>
      </c>
      <c r="I26" s="17">
        <v>46014</v>
      </c>
      <c r="J26">
        <v>174</v>
      </c>
    </row>
    <row r="27" spans="1:10" x14ac:dyDescent="0.2">
      <c r="A27" s="4">
        <v>46016</v>
      </c>
      <c r="B27" s="5">
        <v>1645</v>
      </c>
      <c r="C27" s="6">
        <f t="shared" si="2"/>
        <v>131.6</v>
      </c>
      <c r="D27" s="5">
        <v>250</v>
      </c>
      <c r="E27" s="6">
        <v>20</v>
      </c>
      <c r="F27" s="5"/>
      <c r="G27" s="7">
        <f t="shared" si="1"/>
        <v>151.6</v>
      </c>
      <c r="I27" s="17">
        <v>46015</v>
      </c>
      <c r="J27">
        <v>117</v>
      </c>
    </row>
    <row r="28" spans="1:10" x14ac:dyDescent="0.2">
      <c r="A28" s="10">
        <v>46017</v>
      </c>
      <c r="B28" s="11">
        <v>1528</v>
      </c>
      <c r="C28" s="11">
        <f t="shared" si="2"/>
        <v>122.24000000000001</v>
      </c>
      <c r="D28" s="11">
        <v>498</v>
      </c>
      <c r="E28" s="11">
        <v>40</v>
      </c>
      <c r="F28" s="11"/>
      <c r="G28" s="11">
        <f t="shared" si="1"/>
        <v>162.24</v>
      </c>
      <c r="I28" s="17">
        <v>46016</v>
      </c>
      <c r="J28">
        <v>151</v>
      </c>
    </row>
    <row r="29" spans="1:10" x14ac:dyDescent="0.2">
      <c r="A29" s="4">
        <v>46018</v>
      </c>
      <c r="B29" s="5"/>
      <c r="C29" s="6">
        <f t="shared" si="2"/>
        <v>0</v>
      </c>
      <c r="D29" s="5"/>
      <c r="E29" s="6"/>
      <c r="F29" s="5"/>
      <c r="G29" s="7">
        <f t="shared" si="1"/>
        <v>0</v>
      </c>
      <c r="J29">
        <v>162</v>
      </c>
    </row>
    <row r="30" spans="1:10" x14ac:dyDescent="0.2">
      <c r="A30" s="4">
        <v>46019</v>
      </c>
      <c r="B30" s="5"/>
      <c r="C30" s="6">
        <f t="shared" si="2"/>
        <v>0</v>
      </c>
      <c r="D30" s="5"/>
      <c r="E30" s="6"/>
      <c r="F30" s="5"/>
      <c r="G30" s="7">
        <f t="shared" si="1"/>
        <v>0</v>
      </c>
      <c r="J30">
        <f>SUM(J23:J29)</f>
        <v>1096</v>
      </c>
    </row>
    <row r="31" spans="1:10" x14ac:dyDescent="0.2">
      <c r="A31" s="4">
        <v>46020</v>
      </c>
      <c r="B31" s="5"/>
      <c r="C31" s="6">
        <f t="shared" si="2"/>
        <v>0</v>
      </c>
      <c r="D31" s="5"/>
      <c r="E31" s="6"/>
      <c r="F31" s="5"/>
      <c r="G31" s="7">
        <f t="shared" si="1"/>
        <v>0</v>
      </c>
    </row>
    <row r="32" spans="1:10" x14ac:dyDescent="0.2">
      <c r="A32" s="4">
        <v>46021</v>
      </c>
      <c r="B32" s="5"/>
      <c r="C32" s="6">
        <f t="shared" si="2"/>
        <v>0</v>
      </c>
      <c r="D32" s="5"/>
      <c r="E32" s="6"/>
      <c r="F32" s="5"/>
      <c r="G32" s="7">
        <f t="shared" si="1"/>
        <v>0</v>
      </c>
    </row>
    <row r="33" spans="1:7" x14ac:dyDescent="0.2">
      <c r="A33" s="4">
        <v>46022</v>
      </c>
      <c r="B33" s="5"/>
      <c r="C33" s="6">
        <f t="shared" si="2"/>
        <v>0</v>
      </c>
      <c r="D33" s="5"/>
      <c r="E33" s="6"/>
      <c r="F33" s="5"/>
      <c r="G33" s="7">
        <f t="shared" si="1"/>
        <v>0</v>
      </c>
    </row>
    <row r="34" spans="1:7" x14ac:dyDescent="0.2">
      <c r="A34" s="5" t="s">
        <v>6</v>
      </c>
      <c r="B34" s="5"/>
      <c r="C34" s="5"/>
      <c r="D34" s="5"/>
      <c r="E34" s="5"/>
      <c r="F34" s="5"/>
      <c r="G34" s="5"/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8507-DC31-284F-9690-454C1673A559}">
  <dimension ref="A1:M34"/>
  <sheetViews>
    <sheetView topLeftCell="A9" zoomScaleNormal="100" workbookViewId="0">
      <selection activeCell="J19" sqref="J19"/>
    </sheetView>
  </sheetViews>
  <sheetFormatPr baseColWidth="10" defaultRowHeight="16" x14ac:dyDescent="0.2"/>
  <cols>
    <col min="9" max="9" width="13.83203125" customWidth="1"/>
  </cols>
  <sheetData>
    <row r="1" spans="1:13" x14ac:dyDescent="0.2">
      <c r="A1" t="s">
        <v>33</v>
      </c>
    </row>
    <row r="2" spans="1:13" ht="34" x14ac:dyDescent="0.2">
      <c r="A2" s="1" t="s">
        <v>0</v>
      </c>
      <c r="B2" s="1" t="s">
        <v>1</v>
      </c>
      <c r="C2" s="2" t="s">
        <v>2</v>
      </c>
      <c r="D2" s="1" t="s">
        <v>3</v>
      </c>
      <c r="E2" s="2" t="s">
        <v>2</v>
      </c>
      <c r="F2" s="1" t="s">
        <v>4</v>
      </c>
      <c r="G2" s="3" t="s">
        <v>5</v>
      </c>
      <c r="H2" t="s">
        <v>70</v>
      </c>
      <c r="I2" t="s">
        <v>22</v>
      </c>
      <c r="J2" t="s">
        <v>75</v>
      </c>
      <c r="K2" s="12" t="s">
        <v>21</v>
      </c>
      <c r="L2" t="s">
        <v>24</v>
      </c>
    </row>
    <row r="3" spans="1:13" x14ac:dyDescent="0.2">
      <c r="A3" s="4">
        <v>45992</v>
      </c>
      <c r="B3" s="5">
        <v>800</v>
      </c>
      <c r="C3" s="6">
        <f>(B3*0.9*0.1)</f>
        <v>72</v>
      </c>
      <c r="D3" s="5"/>
      <c r="E3" s="6"/>
      <c r="F3" s="5">
        <v>500</v>
      </c>
      <c r="G3" s="7">
        <f>(C3+E3+F3)</f>
        <v>572</v>
      </c>
      <c r="H3" t="s">
        <v>71</v>
      </c>
      <c r="I3" t="s">
        <v>74</v>
      </c>
      <c r="J3" s="12"/>
      <c r="K3" s="12"/>
      <c r="L3" s="17"/>
    </row>
    <row r="4" spans="1:13" x14ac:dyDescent="0.2">
      <c r="A4" s="4">
        <v>45993</v>
      </c>
      <c r="B4" s="5"/>
      <c r="C4" s="6">
        <f t="shared" ref="C4:C33" si="0">(B4*0.9*0.1)</f>
        <v>0</v>
      </c>
      <c r="D4" s="5"/>
      <c r="E4" s="6"/>
      <c r="F4" s="5">
        <v>500</v>
      </c>
      <c r="G4" s="7">
        <f t="shared" ref="G4:G33" si="1">(C4+E4+F4)</f>
        <v>500</v>
      </c>
      <c r="H4" t="s">
        <v>72</v>
      </c>
    </row>
    <row r="5" spans="1:13" x14ac:dyDescent="0.2">
      <c r="A5" s="4">
        <v>45994</v>
      </c>
      <c r="B5" s="5"/>
      <c r="C5" s="6">
        <f t="shared" si="0"/>
        <v>0</v>
      </c>
      <c r="D5" s="5"/>
      <c r="E5" s="6"/>
      <c r="F5" s="5">
        <v>500</v>
      </c>
      <c r="G5" s="7">
        <f t="shared" si="1"/>
        <v>500</v>
      </c>
      <c r="H5" t="s">
        <v>73</v>
      </c>
      <c r="J5" t="s">
        <v>77</v>
      </c>
    </row>
    <row r="6" spans="1:13" x14ac:dyDescent="0.2">
      <c r="A6" s="4">
        <v>45995</v>
      </c>
      <c r="B6" s="5"/>
      <c r="C6" s="6">
        <f t="shared" si="0"/>
        <v>0</v>
      </c>
      <c r="D6" s="5"/>
      <c r="E6" s="6"/>
      <c r="F6" s="5"/>
      <c r="G6" s="7">
        <f t="shared" si="1"/>
        <v>0</v>
      </c>
      <c r="H6" s="31">
        <v>14583</v>
      </c>
      <c r="J6" t="s">
        <v>76</v>
      </c>
    </row>
    <row r="7" spans="1:13" x14ac:dyDescent="0.2">
      <c r="A7" s="10">
        <v>45996</v>
      </c>
      <c r="B7" s="11"/>
      <c r="C7" s="11">
        <f t="shared" si="0"/>
        <v>0</v>
      </c>
      <c r="D7" s="11"/>
      <c r="E7" s="11"/>
      <c r="F7" s="11">
        <v>500</v>
      </c>
      <c r="G7" s="11">
        <f t="shared" si="1"/>
        <v>500</v>
      </c>
      <c r="H7" s="31">
        <v>34673</v>
      </c>
      <c r="I7">
        <v>3000</v>
      </c>
      <c r="J7" s="9">
        <v>175</v>
      </c>
      <c r="L7">
        <v>2825</v>
      </c>
    </row>
    <row r="8" spans="1:13" x14ac:dyDescent="0.2">
      <c r="A8" s="4">
        <v>45997</v>
      </c>
      <c r="B8" s="5">
        <v>175</v>
      </c>
      <c r="C8" s="6">
        <f t="shared" si="0"/>
        <v>15.75</v>
      </c>
      <c r="D8" s="5"/>
      <c r="E8" s="6"/>
      <c r="F8" s="5">
        <v>500</v>
      </c>
      <c r="G8" s="7">
        <f t="shared" si="1"/>
        <v>515.75</v>
      </c>
      <c r="I8">
        <v>515</v>
      </c>
    </row>
    <row r="9" spans="1:13" x14ac:dyDescent="0.2">
      <c r="A9" s="4">
        <v>45998</v>
      </c>
      <c r="B9" s="5">
        <v>225</v>
      </c>
      <c r="C9" s="6">
        <f t="shared" si="0"/>
        <v>20.25</v>
      </c>
      <c r="D9" s="5"/>
      <c r="E9" s="6"/>
      <c r="F9" s="5">
        <v>500</v>
      </c>
      <c r="G9" s="7">
        <f t="shared" si="1"/>
        <v>520.25</v>
      </c>
      <c r="I9">
        <v>520</v>
      </c>
    </row>
    <row r="10" spans="1:13" x14ac:dyDescent="0.2">
      <c r="A10" s="4">
        <v>45999</v>
      </c>
      <c r="B10" s="5">
        <v>175</v>
      </c>
      <c r="C10" s="6">
        <f t="shared" si="0"/>
        <v>15.75</v>
      </c>
      <c r="D10" s="5"/>
      <c r="E10" s="6"/>
      <c r="F10" s="5">
        <v>500</v>
      </c>
      <c r="G10" s="7">
        <f t="shared" si="1"/>
        <v>515.75</v>
      </c>
      <c r="I10">
        <v>515</v>
      </c>
    </row>
    <row r="11" spans="1:13" x14ac:dyDescent="0.2">
      <c r="A11" s="4">
        <v>46000</v>
      </c>
      <c r="B11" s="5"/>
      <c r="C11" s="6">
        <f t="shared" si="0"/>
        <v>0</v>
      </c>
      <c r="D11" s="5"/>
      <c r="E11" s="6"/>
      <c r="F11" s="5">
        <v>500</v>
      </c>
      <c r="G11" s="7">
        <f t="shared" si="1"/>
        <v>500</v>
      </c>
      <c r="I11">
        <v>500</v>
      </c>
    </row>
    <row r="12" spans="1:13" x14ac:dyDescent="0.2">
      <c r="A12" s="4">
        <v>46001</v>
      </c>
      <c r="B12" s="5">
        <v>120</v>
      </c>
      <c r="C12" s="6">
        <f t="shared" si="0"/>
        <v>10.8</v>
      </c>
      <c r="D12" s="5"/>
      <c r="E12" s="6"/>
      <c r="F12" s="5">
        <v>500</v>
      </c>
      <c r="G12" s="7">
        <f t="shared" si="1"/>
        <v>510.8</v>
      </c>
      <c r="I12">
        <v>510</v>
      </c>
    </row>
    <row r="13" spans="1:13" x14ac:dyDescent="0.2">
      <c r="A13" s="4">
        <v>46002</v>
      </c>
      <c r="B13" s="5">
        <v>175</v>
      </c>
      <c r="C13" s="6">
        <f t="shared" si="0"/>
        <v>15.75</v>
      </c>
      <c r="D13" s="5"/>
      <c r="E13" s="6"/>
      <c r="F13" s="5">
        <v>500</v>
      </c>
      <c r="G13" s="7">
        <f t="shared" si="1"/>
        <v>515.75</v>
      </c>
      <c r="I13">
        <v>515</v>
      </c>
      <c r="K13" t="s">
        <v>79</v>
      </c>
      <c r="L13" t="s">
        <v>87</v>
      </c>
      <c r="M13" t="s">
        <v>81</v>
      </c>
    </row>
    <row r="14" spans="1:13" x14ac:dyDescent="0.2">
      <c r="A14" s="10">
        <v>46003</v>
      </c>
      <c r="B14" s="11"/>
      <c r="C14" s="11">
        <f t="shared" si="0"/>
        <v>0</v>
      </c>
      <c r="D14" s="11"/>
      <c r="E14" s="11"/>
      <c r="F14" s="11"/>
      <c r="G14" s="11">
        <f t="shared" si="1"/>
        <v>0</v>
      </c>
      <c r="I14" s="9">
        <v>3575</v>
      </c>
      <c r="J14" t="s">
        <v>81</v>
      </c>
      <c r="K14">
        <v>75</v>
      </c>
      <c r="L14">
        <v>100</v>
      </c>
      <c r="M14" s="9">
        <v>3400</v>
      </c>
    </row>
    <row r="15" spans="1:13" x14ac:dyDescent="0.2">
      <c r="A15" s="4">
        <v>46004</v>
      </c>
      <c r="B15" s="5"/>
      <c r="C15" s="6">
        <f t="shared" si="0"/>
        <v>0</v>
      </c>
      <c r="D15" s="5"/>
      <c r="E15" s="6"/>
      <c r="F15" s="5">
        <v>500</v>
      </c>
      <c r="G15" s="7">
        <f t="shared" si="1"/>
        <v>500</v>
      </c>
    </row>
    <row r="16" spans="1:13" x14ac:dyDescent="0.2">
      <c r="A16" s="4">
        <v>46005</v>
      </c>
      <c r="B16" s="5"/>
      <c r="C16" s="6">
        <f t="shared" si="0"/>
        <v>0</v>
      </c>
      <c r="D16" s="5"/>
      <c r="E16" s="6"/>
      <c r="F16" s="5">
        <v>500</v>
      </c>
      <c r="G16" s="7">
        <f t="shared" si="1"/>
        <v>500</v>
      </c>
      <c r="H16" t="s">
        <v>122</v>
      </c>
      <c r="I16" t="s">
        <v>127</v>
      </c>
    </row>
    <row r="17" spans="1:9" x14ac:dyDescent="0.2">
      <c r="A17" s="4">
        <v>46006</v>
      </c>
      <c r="B17" s="5"/>
      <c r="C17" s="6">
        <f t="shared" si="0"/>
        <v>0</v>
      </c>
      <c r="D17" s="5"/>
      <c r="E17" s="6"/>
      <c r="F17" s="5">
        <v>500</v>
      </c>
      <c r="G17" s="7">
        <f t="shared" si="1"/>
        <v>500</v>
      </c>
      <c r="H17" t="s">
        <v>123</v>
      </c>
      <c r="I17" t="s">
        <v>126</v>
      </c>
    </row>
    <row r="18" spans="1:9" x14ac:dyDescent="0.2">
      <c r="A18" s="4">
        <v>46007</v>
      </c>
      <c r="B18" s="5"/>
      <c r="C18" s="6">
        <f t="shared" si="0"/>
        <v>0</v>
      </c>
      <c r="D18" s="5"/>
      <c r="E18" s="6"/>
      <c r="F18" s="5">
        <v>500</v>
      </c>
      <c r="G18" s="7">
        <f t="shared" si="1"/>
        <v>500</v>
      </c>
      <c r="I18">
        <v>3545</v>
      </c>
    </row>
    <row r="19" spans="1:9" x14ac:dyDescent="0.2">
      <c r="A19" s="4">
        <v>46008</v>
      </c>
      <c r="B19" s="5"/>
      <c r="C19" s="6">
        <f t="shared" si="0"/>
        <v>0</v>
      </c>
      <c r="D19" s="5"/>
      <c r="E19" s="6"/>
      <c r="F19" s="5">
        <v>500</v>
      </c>
      <c r="G19" s="7">
        <f t="shared" si="1"/>
        <v>500</v>
      </c>
    </row>
    <row r="20" spans="1:9" x14ac:dyDescent="0.2">
      <c r="A20" s="4">
        <v>46009</v>
      </c>
      <c r="B20" s="5"/>
      <c r="C20" s="6">
        <f t="shared" si="0"/>
        <v>0</v>
      </c>
      <c r="D20" s="5">
        <v>1300</v>
      </c>
      <c r="E20" s="6">
        <v>45</v>
      </c>
      <c r="F20" s="5">
        <v>500</v>
      </c>
      <c r="G20" s="7">
        <f t="shared" si="1"/>
        <v>545</v>
      </c>
      <c r="H20" t="s">
        <v>124</v>
      </c>
      <c r="I20" s="9">
        <v>3391</v>
      </c>
    </row>
    <row r="21" spans="1:9" x14ac:dyDescent="0.2">
      <c r="A21" s="10">
        <v>46010</v>
      </c>
      <c r="B21" s="11"/>
      <c r="C21" s="11">
        <f t="shared" si="0"/>
        <v>0</v>
      </c>
      <c r="D21" s="11"/>
      <c r="E21" s="11"/>
      <c r="F21" s="11">
        <v>500</v>
      </c>
      <c r="G21" s="11">
        <f t="shared" si="1"/>
        <v>500</v>
      </c>
      <c r="H21" t="s">
        <v>125</v>
      </c>
    </row>
    <row r="22" spans="1:9" x14ac:dyDescent="0.2">
      <c r="A22" s="4">
        <v>46011</v>
      </c>
      <c r="B22" s="5"/>
      <c r="C22" s="6">
        <f t="shared" si="0"/>
        <v>0</v>
      </c>
      <c r="D22" s="5"/>
      <c r="E22" s="6"/>
      <c r="F22" s="5">
        <v>500</v>
      </c>
      <c r="G22" s="7">
        <f t="shared" si="1"/>
        <v>500</v>
      </c>
    </row>
    <row r="23" spans="1:9" x14ac:dyDescent="0.2">
      <c r="A23" s="4">
        <v>46012</v>
      </c>
      <c r="B23" s="5"/>
      <c r="C23" s="6">
        <f t="shared" si="0"/>
        <v>0</v>
      </c>
      <c r="D23" s="5"/>
      <c r="E23" s="6"/>
      <c r="F23" s="5">
        <v>500</v>
      </c>
      <c r="G23" s="7">
        <f t="shared" si="1"/>
        <v>500</v>
      </c>
    </row>
    <row r="24" spans="1:9" x14ac:dyDescent="0.2">
      <c r="A24" s="4">
        <v>46013</v>
      </c>
      <c r="B24" s="5"/>
      <c r="C24" s="6">
        <f t="shared" si="0"/>
        <v>0</v>
      </c>
      <c r="D24" s="5"/>
      <c r="E24" s="6"/>
      <c r="F24" s="5"/>
      <c r="G24" s="7">
        <f t="shared" si="1"/>
        <v>0</v>
      </c>
    </row>
    <row r="25" spans="1:9" x14ac:dyDescent="0.2">
      <c r="A25" s="4">
        <v>46014</v>
      </c>
      <c r="B25" s="5"/>
      <c r="C25" s="6">
        <f t="shared" si="0"/>
        <v>0</v>
      </c>
      <c r="D25" s="5"/>
      <c r="E25" s="6"/>
      <c r="F25" s="5">
        <v>500</v>
      </c>
      <c r="G25" s="7">
        <f t="shared" si="1"/>
        <v>500</v>
      </c>
    </row>
    <row r="26" spans="1:9" x14ac:dyDescent="0.2">
      <c r="A26" s="4">
        <v>46015</v>
      </c>
      <c r="B26" s="5"/>
      <c r="C26" s="6">
        <f t="shared" si="0"/>
        <v>0</v>
      </c>
      <c r="D26" s="5"/>
      <c r="E26" s="6"/>
      <c r="F26" s="5">
        <v>500</v>
      </c>
      <c r="G26" s="7">
        <f t="shared" si="1"/>
        <v>500</v>
      </c>
    </row>
    <row r="27" spans="1:9" x14ac:dyDescent="0.2">
      <c r="A27" s="4">
        <v>46016</v>
      </c>
      <c r="B27" s="5"/>
      <c r="C27" s="6">
        <f t="shared" si="0"/>
        <v>0</v>
      </c>
      <c r="D27" s="5"/>
      <c r="E27" s="6"/>
      <c r="F27" s="5">
        <v>500</v>
      </c>
      <c r="G27" s="7">
        <f t="shared" si="1"/>
        <v>500</v>
      </c>
      <c r="I27" t="s">
        <v>127</v>
      </c>
    </row>
    <row r="28" spans="1:9" x14ac:dyDescent="0.2">
      <c r="A28" s="10">
        <v>46017</v>
      </c>
      <c r="B28" s="11"/>
      <c r="C28" s="11">
        <f t="shared" si="0"/>
        <v>0</v>
      </c>
      <c r="D28" s="11"/>
      <c r="E28" s="11"/>
      <c r="F28" s="11">
        <v>500</v>
      </c>
      <c r="G28" s="11">
        <f t="shared" si="1"/>
        <v>500</v>
      </c>
      <c r="H28">
        <v>3000</v>
      </c>
      <c r="I28" s="9">
        <v>2925</v>
      </c>
    </row>
    <row r="29" spans="1:9" x14ac:dyDescent="0.2">
      <c r="A29" s="4">
        <v>46018</v>
      </c>
      <c r="B29" s="5"/>
      <c r="C29" s="6">
        <f t="shared" si="0"/>
        <v>0</v>
      </c>
      <c r="D29" s="5"/>
      <c r="E29" s="6"/>
      <c r="F29" s="5"/>
      <c r="G29" s="7">
        <f t="shared" si="1"/>
        <v>0</v>
      </c>
    </row>
    <row r="30" spans="1:9" x14ac:dyDescent="0.2">
      <c r="A30" s="4">
        <v>46019</v>
      </c>
      <c r="B30" s="5"/>
      <c r="C30" s="6">
        <f t="shared" si="0"/>
        <v>0</v>
      </c>
      <c r="D30" s="5"/>
      <c r="E30" s="6"/>
      <c r="F30" s="5"/>
      <c r="G30" s="7">
        <f t="shared" si="1"/>
        <v>0</v>
      </c>
    </row>
    <row r="31" spans="1:9" x14ac:dyDescent="0.2">
      <c r="A31" s="4">
        <v>46020</v>
      </c>
      <c r="B31" s="5"/>
      <c r="C31" s="6">
        <f t="shared" si="0"/>
        <v>0</v>
      </c>
      <c r="D31" s="5"/>
      <c r="E31" s="6"/>
      <c r="F31" s="5"/>
      <c r="G31" s="7">
        <f t="shared" si="1"/>
        <v>0</v>
      </c>
    </row>
    <row r="32" spans="1:9" x14ac:dyDescent="0.2">
      <c r="A32" s="4">
        <v>46021</v>
      </c>
      <c r="B32" s="5"/>
      <c r="C32" s="6">
        <f t="shared" si="0"/>
        <v>0</v>
      </c>
      <c r="D32" s="5"/>
      <c r="E32" s="6"/>
      <c r="F32" s="5"/>
      <c r="G32" s="7">
        <f t="shared" si="1"/>
        <v>0</v>
      </c>
    </row>
    <row r="33" spans="1:7" x14ac:dyDescent="0.2">
      <c r="A33" s="4">
        <v>46022</v>
      </c>
      <c r="B33" s="5"/>
      <c r="C33" s="6">
        <f t="shared" si="0"/>
        <v>0</v>
      </c>
      <c r="D33" s="5"/>
      <c r="E33" s="6"/>
      <c r="F33" s="5"/>
      <c r="G33" s="7">
        <f t="shared" si="1"/>
        <v>0</v>
      </c>
    </row>
    <row r="34" spans="1:7" x14ac:dyDescent="0.2">
      <c r="A34" s="5" t="s">
        <v>6</v>
      </c>
      <c r="B34" s="5"/>
      <c r="C34" s="5"/>
      <c r="D34" s="5"/>
      <c r="E34" s="5"/>
      <c r="F34" s="5"/>
      <c r="G34" s="5"/>
    </row>
  </sheetData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D53D-11C9-284D-999B-AF0B0D6A5284}">
  <dimension ref="A1:M34"/>
  <sheetViews>
    <sheetView topLeftCell="A15" zoomScale="169" zoomScaleNormal="95" workbookViewId="0">
      <selection activeCell="I30" sqref="I30"/>
    </sheetView>
  </sheetViews>
  <sheetFormatPr baseColWidth="10" defaultRowHeight="16" x14ac:dyDescent="0.2"/>
  <sheetData>
    <row r="1" spans="1:13" x14ac:dyDescent="0.2">
      <c r="A1" t="s">
        <v>34</v>
      </c>
      <c r="C1" t="s">
        <v>40</v>
      </c>
      <c r="E1" t="s">
        <v>39</v>
      </c>
      <c r="F1" t="s">
        <v>41</v>
      </c>
    </row>
    <row r="2" spans="1:13" ht="34" x14ac:dyDescent="0.2">
      <c r="A2" s="1" t="s">
        <v>0</v>
      </c>
      <c r="B2" s="1" t="s">
        <v>1</v>
      </c>
      <c r="C2" s="2" t="s">
        <v>2</v>
      </c>
      <c r="D2" s="1" t="s">
        <v>3</v>
      </c>
      <c r="E2" s="2" t="s">
        <v>2</v>
      </c>
      <c r="F2" s="1" t="s">
        <v>4</v>
      </c>
      <c r="G2" s="3" t="s">
        <v>5</v>
      </c>
      <c r="H2" t="s">
        <v>37</v>
      </c>
      <c r="I2" t="s">
        <v>22</v>
      </c>
      <c r="J2" t="s">
        <v>23</v>
      </c>
      <c r="K2" t="s">
        <v>14</v>
      </c>
      <c r="L2" s="12" t="s">
        <v>21</v>
      </c>
      <c r="M2" t="s">
        <v>24</v>
      </c>
    </row>
    <row r="3" spans="1:13" x14ac:dyDescent="0.2">
      <c r="A3" s="4">
        <v>45992</v>
      </c>
      <c r="B3" s="5"/>
      <c r="C3" s="6">
        <f>(B3*0.9*0.1)</f>
        <v>0</v>
      </c>
      <c r="D3" s="5"/>
      <c r="E3" s="6"/>
      <c r="F3" s="5"/>
      <c r="G3" s="7">
        <f>(C3+E3+F3)</f>
        <v>0</v>
      </c>
      <c r="I3" t="s">
        <v>43</v>
      </c>
      <c r="J3" s="12">
        <v>437</v>
      </c>
      <c r="K3" s="12"/>
      <c r="L3" s="12"/>
      <c r="M3" s="17"/>
    </row>
    <row r="4" spans="1:13" x14ac:dyDescent="0.2">
      <c r="A4" s="4">
        <v>45993</v>
      </c>
      <c r="B4" s="5">
        <v>998</v>
      </c>
      <c r="C4" s="6">
        <f>(B4*0.8*0.1)</f>
        <v>79.840000000000018</v>
      </c>
      <c r="D4" s="5"/>
      <c r="E4" s="6"/>
      <c r="F4" s="5">
        <v>350</v>
      </c>
      <c r="G4" s="7">
        <f t="shared" ref="G4:G33" si="0">(C4+E4+F4)</f>
        <v>429.84000000000003</v>
      </c>
      <c r="I4" t="s">
        <v>44</v>
      </c>
      <c r="J4">
        <v>547</v>
      </c>
    </row>
    <row r="5" spans="1:13" x14ac:dyDescent="0.2">
      <c r="A5" s="4">
        <v>45994</v>
      </c>
      <c r="B5" s="5">
        <v>730</v>
      </c>
      <c r="C5" s="6">
        <f>(B5*0.8*0.1)</f>
        <v>58.400000000000006</v>
      </c>
      <c r="D5" s="5">
        <v>1440</v>
      </c>
      <c r="E5" s="6">
        <v>100</v>
      </c>
      <c r="F5" s="5">
        <v>350</v>
      </c>
      <c r="G5" s="7">
        <f t="shared" si="0"/>
        <v>508.4</v>
      </c>
      <c r="I5" t="s">
        <v>63</v>
      </c>
      <c r="J5">
        <v>1911.56</v>
      </c>
    </row>
    <row r="6" spans="1:13" x14ac:dyDescent="0.2">
      <c r="A6" s="4">
        <v>45995</v>
      </c>
      <c r="B6" s="5">
        <v>1610</v>
      </c>
      <c r="C6" s="6">
        <f t="shared" ref="C6:C33" si="1">(B6*0.8*0.1)</f>
        <v>128.80000000000001</v>
      </c>
      <c r="D6" s="5"/>
      <c r="E6" s="6"/>
      <c r="F6" s="5">
        <v>350</v>
      </c>
      <c r="G6" s="7">
        <f t="shared" si="0"/>
        <v>478.8</v>
      </c>
    </row>
    <row r="7" spans="1:13" x14ac:dyDescent="0.2">
      <c r="A7" s="10">
        <v>45996</v>
      </c>
      <c r="B7" s="11">
        <v>894</v>
      </c>
      <c r="C7" s="11">
        <f t="shared" si="1"/>
        <v>71.52000000000001</v>
      </c>
      <c r="D7" s="11">
        <v>1045</v>
      </c>
      <c r="E7" s="11">
        <v>73</v>
      </c>
      <c r="F7" s="11">
        <v>350</v>
      </c>
      <c r="G7" s="11">
        <f t="shared" si="0"/>
        <v>494.52</v>
      </c>
      <c r="J7">
        <f>SUM(J3:J6)</f>
        <v>2895.56</v>
      </c>
      <c r="K7">
        <v>1000</v>
      </c>
      <c r="M7">
        <v>1895</v>
      </c>
    </row>
    <row r="8" spans="1:13" x14ac:dyDescent="0.2">
      <c r="A8" s="4">
        <v>45997</v>
      </c>
      <c r="B8" s="5">
        <v>545</v>
      </c>
      <c r="C8" s="6">
        <f t="shared" si="1"/>
        <v>43.6</v>
      </c>
      <c r="D8" s="5">
        <v>644</v>
      </c>
      <c r="E8" s="6">
        <v>45</v>
      </c>
      <c r="F8" s="5">
        <v>350</v>
      </c>
      <c r="G8" s="7">
        <f t="shared" si="0"/>
        <v>438.6</v>
      </c>
    </row>
    <row r="9" spans="1:13" x14ac:dyDescent="0.2">
      <c r="A9" s="4">
        <v>45998</v>
      </c>
      <c r="B9" s="5">
        <v>1204</v>
      </c>
      <c r="C9" s="6">
        <f t="shared" si="1"/>
        <v>96.320000000000007</v>
      </c>
      <c r="D9" s="5">
        <v>395</v>
      </c>
      <c r="E9" s="6">
        <v>27.65</v>
      </c>
      <c r="F9" s="5">
        <v>350</v>
      </c>
      <c r="G9" s="7">
        <f t="shared" si="0"/>
        <v>473.97</v>
      </c>
      <c r="J9">
        <v>438</v>
      </c>
    </row>
    <row r="10" spans="1:13" x14ac:dyDescent="0.2">
      <c r="A10" s="4">
        <v>45999</v>
      </c>
      <c r="B10" s="5"/>
      <c r="C10" s="6">
        <f t="shared" si="1"/>
        <v>0</v>
      </c>
      <c r="D10" s="5"/>
      <c r="E10" s="6"/>
      <c r="F10" s="5"/>
      <c r="G10" s="7">
        <f t="shared" si="0"/>
        <v>0</v>
      </c>
      <c r="J10">
        <v>473</v>
      </c>
    </row>
    <row r="11" spans="1:13" x14ac:dyDescent="0.2">
      <c r="A11" s="4">
        <v>46000</v>
      </c>
      <c r="B11" s="5">
        <v>510</v>
      </c>
      <c r="C11" s="6">
        <f t="shared" si="1"/>
        <v>40.800000000000004</v>
      </c>
      <c r="D11" s="5">
        <v>550</v>
      </c>
      <c r="E11" s="6">
        <v>38.5</v>
      </c>
      <c r="F11" s="5">
        <v>350</v>
      </c>
      <c r="G11" s="7">
        <f t="shared" si="0"/>
        <v>429.3</v>
      </c>
      <c r="H11">
        <v>300</v>
      </c>
      <c r="J11">
        <v>429</v>
      </c>
    </row>
    <row r="12" spans="1:13" x14ac:dyDescent="0.2">
      <c r="A12" s="4">
        <v>46001</v>
      </c>
      <c r="B12" s="5">
        <v>1039</v>
      </c>
      <c r="C12" s="6">
        <f t="shared" si="1"/>
        <v>83.12</v>
      </c>
      <c r="D12" s="5"/>
      <c r="E12" s="6"/>
      <c r="F12" s="5">
        <v>350</v>
      </c>
      <c r="G12" s="7">
        <f t="shared" si="0"/>
        <v>433.12</v>
      </c>
      <c r="J12">
        <v>433</v>
      </c>
    </row>
    <row r="13" spans="1:13" x14ac:dyDescent="0.2">
      <c r="A13" s="4">
        <v>46002</v>
      </c>
      <c r="B13" s="5">
        <v>1100</v>
      </c>
      <c r="C13" s="6">
        <f t="shared" si="1"/>
        <v>88</v>
      </c>
      <c r="D13" s="5"/>
      <c r="E13" s="6"/>
      <c r="F13" s="5">
        <v>350</v>
      </c>
      <c r="G13" s="7">
        <f t="shared" si="0"/>
        <v>438</v>
      </c>
      <c r="J13">
        <v>438</v>
      </c>
    </row>
    <row r="14" spans="1:13" x14ac:dyDescent="0.2">
      <c r="A14" s="10">
        <v>46003</v>
      </c>
      <c r="B14" s="11">
        <v>175</v>
      </c>
      <c r="C14" s="11">
        <f t="shared" si="1"/>
        <v>14</v>
      </c>
      <c r="D14" s="11">
        <v>1149</v>
      </c>
      <c r="E14" s="11">
        <v>80</v>
      </c>
      <c r="F14" s="11">
        <v>350</v>
      </c>
      <c r="G14" s="11">
        <f t="shared" si="0"/>
        <v>444</v>
      </c>
      <c r="H14">
        <v>100</v>
      </c>
      <c r="J14">
        <v>444</v>
      </c>
      <c r="K14" t="s">
        <v>14</v>
      </c>
      <c r="M14" t="s">
        <v>81</v>
      </c>
    </row>
    <row r="15" spans="1:13" x14ac:dyDescent="0.2">
      <c r="A15" s="4">
        <v>46004</v>
      </c>
      <c r="B15" s="5">
        <v>1665</v>
      </c>
      <c r="C15" s="6">
        <f t="shared" si="1"/>
        <v>133.20000000000002</v>
      </c>
      <c r="D15" s="5"/>
      <c r="E15" s="6"/>
      <c r="F15" s="5">
        <v>350</v>
      </c>
      <c r="G15" s="7">
        <f t="shared" si="0"/>
        <v>483.20000000000005</v>
      </c>
      <c r="I15">
        <v>483</v>
      </c>
      <c r="J15" s="9">
        <f>SUM(J8:J14)</f>
        <v>2655</v>
      </c>
      <c r="K15">
        <v>400</v>
      </c>
      <c r="M15" s="9">
        <v>2255</v>
      </c>
    </row>
    <row r="16" spans="1:13" x14ac:dyDescent="0.2">
      <c r="A16" s="4">
        <v>46005</v>
      </c>
      <c r="B16" s="5">
        <v>1210</v>
      </c>
      <c r="C16" s="6">
        <f t="shared" si="1"/>
        <v>96.800000000000011</v>
      </c>
      <c r="D16" s="5"/>
      <c r="E16" s="6"/>
      <c r="F16" s="5">
        <v>350</v>
      </c>
      <c r="G16" s="7">
        <f t="shared" si="0"/>
        <v>446.8</v>
      </c>
      <c r="I16">
        <v>446</v>
      </c>
    </row>
    <row r="17" spans="1:11" x14ac:dyDescent="0.2">
      <c r="A17" s="4">
        <v>46006</v>
      </c>
      <c r="B17" s="5"/>
      <c r="C17" s="6">
        <f t="shared" si="1"/>
        <v>0</v>
      </c>
      <c r="D17" s="5"/>
      <c r="E17" s="6"/>
      <c r="F17" s="5"/>
      <c r="G17" s="7">
        <f t="shared" si="0"/>
        <v>0</v>
      </c>
      <c r="I17">
        <v>455</v>
      </c>
    </row>
    <row r="18" spans="1:11" x14ac:dyDescent="0.2">
      <c r="A18" s="4">
        <v>46007</v>
      </c>
      <c r="B18" s="5">
        <v>1320</v>
      </c>
      <c r="C18" s="6">
        <f t="shared" si="1"/>
        <v>105.60000000000001</v>
      </c>
      <c r="D18" s="5"/>
      <c r="E18" s="6"/>
      <c r="F18" s="5">
        <v>350</v>
      </c>
      <c r="G18" s="7">
        <f t="shared" si="0"/>
        <v>455.6</v>
      </c>
      <c r="I18">
        <v>444</v>
      </c>
    </row>
    <row r="19" spans="1:11" x14ac:dyDescent="0.2">
      <c r="A19" s="4">
        <v>46008</v>
      </c>
      <c r="B19" s="5">
        <v>1180</v>
      </c>
      <c r="C19" s="6">
        <f t="shared" si="1"/>
        <v>94.4</v>
      </c>
      <c r="D19" s="5"/>
      <c r="E19" s="6"/>
      <c r="F19" s="5">
        <v>350</v>
      </c>
      <c r="G19" s="7">
        <f t="shared" si="0"/>
        <v>444.4</v>
      </c>
      <c r="I19">
        <v>545</v>
      </c>
    </row>
    <row r="20" spans="1:11" x14ac:dyDescent="0.2">
      <c r="A20" s="4">
        <v>46009</v>
      </c>
      <c r="B20" s="5">
        <v>1397</v>
      </c>
      <c r="C20" s="6">
        <f t="shared" si="1"/>
        <v>111.76000000000002</v>
      </c>
      <c r="D20" s="5">
        <v>1200</v>
      </c>
      <c r="E20" s="6">
        <v>84</v>
      </c>
      <c r="F20" s="5">
        <v>350</v>
      </c>
      <c r="G20" s="7">
        <f t="shared" si="0"/>
        <v>545.76</v>
      </c>
      <c r="I20">
        <v>408</v>
      </c>
    </row>
    <row r="21" spans="1:11" x14ac:dyDescent="0.2">
      <c r="A21" s="10">
        <v>46010</v>
      </c>
      <c r="B21" s="11">
        <v>734</v>
      </c>
      <c r="C21" s="11">
        <f t="shared" si="1"/>
        <v>58.720000000000006</v>
      </c>
      <c r="D21" s="11">
        <v>999</v>
      </c>
      <c r="E21" s="11"/>
      <c r="F21" s="11">
        <v>350</v>
      </c>
      <c r="G21" s="11">
        <f t="shared" si="0"/>
        <v>408.72</v>
      </c>
      <c r="I21" s="9">
        <f>SUM(I14:I20)</f>
        <v>2781</v>
      </c>
    </row>
    <row r="22" spans="1:11" x14ac:dyDescent="0.2">
      <c r="A22" s="4">
        <v>46011</v>
      </c>
      <c r="B22" s="5">
        <v>1545</v>
      </c>
      <c r="C22" s="6">
        <f t="shared" si="1"/>
        <v>123.60000000000001</v>
      </c>
      <c r="D22" s="5">
        <v>950</v>
      </c>
      <c r="E22" s="6"/>
      <c r="F22" s="5">
        <v>350</v>
      </c>
      <c r="G22" s="7">
        <f t="shared" si="0"/>
        <v>473.6</v>
      </c>
      <c r="I22" s="17">
        <v>46011</v>
      </c>
      <c r="J22">
        <v>473</v>
      </c>
    </row>
    <row r="23" spans="1:11" x14ac:dyDescent="0.2">
      <c r="A23" s="4">
        <v>46012</v>
      </c>
      <c r="B23" s="5"/>
      <c r="C23" s="6">
        <f t="shared" si="1"/>
        <v>0</v>
      </c>
      <c r="D23" s="5"/>
      <c r="E23" s="6"/>
      <c r="F23" s="5"/>
      <c r="G23" s="7">
        <f t="shared" si="0"/>
        <v>0</v>
      </c>
      <c r="I23" s="17">
        <v>46013</v>
      </c>
      <c r="J23">
        <v>483</v>
      </c>
    </row>
    <row r="24" spans="1:11" x14ac:dyDescent="0.2">
      <c r="A24" s="4">
        <v>46013</v>
      </c>
      <c r="B24" s="5">
        <v>1665</v>
      </c>
      <c r="C24" s="6">
        <f t="shared" si="1"/>
        <v>133.20000000000002</v>
      </c>
      <c r="D24" s="5"/>
      <c r="E24" s="6"/>
      <c r="F24" s="5">
        <v>350</v>
      </c>
      <c r="G24" s="7">
        <f t="shared" si="0"/>
        <v>483.20000000000005</v>
      </c>
      <c r="H24">
        <v>500</v>
      </c>
      <c r="I24" s="17">
        <v>46014</v>
      </c>
      <c r="J24">
        <v>529</v>
      </c>
      <c r="K24" t="s">
        <v>175</v>
      </c>
    </row>
    <row r="25" spans="1:11" x14ac:dyDescent="0.2">
      <c r="A25" s="4">
        <v>46014</v>
      </c>
      <c r="B25" s="5">
        <v>2245</v>
      </c>
      <c r="C25" s="6">
        <f t="shared" si="1"/>
        <v>179.60000000000002</v>
      </c>
      <c r="D25" s="5"/>
      <c r="E25" s="6"/>
      <c r="F25" s="5">
        <v>350</v>
      </c>
      <c r="G25" s="7">
        <f t="shared" si="0"/>
        <v>529.6</v>
      </c>
      <c r="I25" s="17">
        <v>46015</v>
      </c>
      <c r="J25">
        <v>419</v>
      </c>
    </row>
    <row r="26" spans="1:11" x14ac:dyDescent="0.2">
      <c r="A26" s="4">
        <v>46015</v>
      </c>
      <c r="B26" s="5">
        <v>383</v>
      </c>
      <c r="C26" s="6">
        <f t="shared" si="1"/>
        <v>30.640000000000004</v>
      </c>
      <c r="D26" s="5">
        <v>550</v>
      </c>
      <c r="E26" s="6">
        <v>38.5</v>
      </c>
      <c r="F26" s="5">
        <v>350</v>
      </c>
      <c r="G26" s="7">
        <f t="shared" si="0"/>
        <v>419.14</v>
      </c>
      <c r="J26" s="9">
        <f>SUM(J22:J25)</f>
        <v>1904</v>
      </c>
      <c r="K26" s="9">
        <v>1404</v>
      </c>
    </row>
    <row r="27" spans="1:11" x14ac:dyDescent="0.2">
      <c r="A27" s="4">
        <v>46016</v>
      </c>
      <c r="B27" s="5"/>
      <c r="C27" s="6">
        <f t="shared" si="1"/>
        <v>0</v>
      </c>
      <c r="D27" s="5"/>
      <c r="E27" s="6"/>
      <c r="F27" s="5"/>
      <c r="G27" s="7">
        <f t="shared" si="0"/>
        <v>0</v>
      </c>
    </row>
    <row r="28" spans="1:11" x14ac:dyDescent="0.2">
      <c r="A28" s="10">
        <v>46017</v>
      </c>
      <c r="B28" s="11"/>
      <c r="C28" s="11">
        <f t="shared" si="1"/>
        <v>0</v>
      </c>
      <c r="D28" s="11"/>
      <c r="E28" s="11"/>
      <c r="F28" s="11"/>
      <c r="G28" s="11">
        <f t="shared" si="0"/>
        <v>0</v>
      </c>
    </row>
    <row r="29" spans="1:11" x14ac:dyDescent="0.2">
      <c r="A29" s="4">
        <v>46018</v>
      </c>
      <c r="B29" s="5"/>
      <c r="C29" s="6">
        <f t="shared" si="1"/>
        <v>0</v>
      </c>
      <c r="D29" s="5"/>
      <c r="E29" s="6"/>
      <c r="F29" s="5"/>
      <c r="G29" s="7">
        <f t="shared" si="0"/>
        <v>0</v>
      </c>
    </row>
    <row r="30" spans="1:11" x14ac:dyDescent="0.2">
      <c r="A30" s="4">
        <v>46019</v>
      </c>
      <c r="B30" s="5"/>
      <c r="C30" s="6">
        <f t="shared" si="1"/>
        <v>0</v>
      </c>
      <c r="D30" s="5"/>
      <c r="E30" s="6"/>
      <c r="F30" s="5"/>
      <c r="G30" s="7">
        <f t="shared" si="0"/>
        <v>0</v>
      </c>
    </row>
    <row r="31" spans="1:11" x14ac:dyDescent="0.2">
      <c r="A31" s="4">
        <v>46020</v>
      </c>
      <c r="B31" s="5"/>
      <c r="C31" s="6">
        <f t="shared" si="1"/>
        <v>0</v>
      </c>
      <c r="D31" s="5"/>
      <c r="E31" s="6"/>
      <c r="F31" s="5"/>
      <c r="G31" s="7">
        <f t="shared" si="0"/>
        <v>0</v>
      </c>
    </row>
    <row r="32" spans="1:11" x14ac:dyDescent="0.2">
      <c r="A32" s="4">
        <v>46021</v>
      </c>
      <c r="B32" s="5"/>
      <c r="C32" s="6">
        <f t="shared" si="1"/>
        <v>0</v>
      </c>
      <c r="D32" s="5"/>
      <c r="E32" s="6"/>
      <c r="F32" s="5"/>
      <c r="G32" s="7">
        <f t="shared" si="0"/>
        <v>0</v>
      </c>
    </row>
    <row r="33" spans="1:7" x14ac:dyDescent="0.2">
      <c r="A33" s="4">
        <v>46022</v>
      </c>
      <c r="B33" s="5"/>
      <c r="C33" s="6">
        <f t="shared" si="1"/>
        <v>0</v>
      </c>
      <c r="D33" s="5"/>
      <c r="E33" s="6"/>
      <c r="F33" s="5"/>
      <c r="G33" s="7">
        <f t="shared" si="0"/>
        <v>0</v>
      </c>
    </row>
    <row r="34" spans="1:7" x14ac:dyDescent="0.2">
      <c r="A34" s="5" t="s">
        <v>6</v>
      </c>
      <c r="B34" s="5"/>
      <c r="C34" s="5"/>
      <c r="D34" s="5"/>
      <c r="E34" s="5"/>
      <c r="F34" s="5"/>
      <c r="G34" s="5"/>
    </row>
  </sheetData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C937-21CA-744B-AD2E-50876937E60F}">
  <dimension ref="A1:M34"/>
  <sheetViews>
    <sheetView topLeftCell="A17" zoomScale="139" zoomScaleNormal="80" workbookViewId="0">
      <selection activeCell="K32" sqref="K32"/>
    </sheetView>
  </sheetViews>
  <sheetFormatPr baseColWidth="10" defaultRowHeight="16" x14ac:dyDescent="0.2"/>
  <cols>
    <col min="12" max="12" width="6" customWidth="1"/>
  </cols>
  <sheetData>
    <row r="1" spans="1:13" x14ac:dyDescent="0.2">
      <c r="A1" t="s">
        <v>35</v>
      </c>
    </row>
    <row r="2" spans="1:13" ht="34" x14ac:dyDescent="0.2">
      <c r="A2" s="1" t="s">
        <v>0</v>
      </c>
      <c r="B2" s="1" t="s">
        <v>1</v>
      </c>
      <c r="C2" s="2" t="s">
        <v>2</v>
      </c>
      <c r="D2" s="1" t="s">
        <v>3</v>
      </c>
      <c r="E2" s="2" t="s">
        <v>2</v>
      </c>
      <c r="F2" s="1" t="s">
        <v>4</v>
      </c>
      <c r="G2" s="3" t="s">
        <v>5</v>
      </c>
      <c r="H2" t="s">
        <v>37</v>
      </c>
      <c r="I2" t="s">
        <v>22</v>
      </c>
      <c r="J2" t="s">
        <v>23</v>
      </c>
      <c r="K2" s="12" t="s">
        <v>21</v>
      </c>
      <c r="L2" t="s">
        <v>14</v>
      </c>
      <c r="M2" t="s">
        <v>67</v>
      </c>
    </row>
    <row r="3" spans="1:13" x14ac:dyDescent="0.2">
      <c r="A3" s="4">
        <v>45992</v>
      </c>
      <c r="B3" s="5">
        <v>674</v>
      </c>
      <c r="C3" s="6">
        <f>(B3*0.8*0.1)</f>
        <v>53.920000000000009</v>
      </c>
      <c r="D3" s="5"/>
      <c r="E3" s="6"/>
      <c r="F3" s="5">
        <v>350</v>
      </c>
      <c r="G3" s="7">
        <f>(C3+E3+F3)</f>
        <v>403.92</v>
      </c>
      <c r="H3">
        <v>300</v>
      </c>
      <c r="I3" t="s">
        <v>43</v>
      </c>
      <c r="J3" s="12">
        <v>443</v>
      </c>
      <c r="K3" s="12"/>
      <c r="L3" s="17"/>
    </row>
    <row r="4" spans="1:13" x14ac:dyDescent="0.2">
      <c r="A4" s="4">
        <v>45993</v>
      </c>
      <c r="B4" s="5">
        <v>1613</v>
      </c>
      <c r="C4" s="6">
        <f t="shared" ref="C4:C33" si="0">(B4*0.8*0.1)</f>
        <v>129.04000000000002</v>
      </c>
      <c r="D4" s="5"/>
      <c r="E4" s="6"/>
      <c r="F4" s="5">
        <v>350</v>
      </c>
      <c r="G4" s="7">
        <f t="shared" ref="G4:G33" si="1">(C4+E4+F4)</f>
        <v>479.04</v>
      </c>
      <c r="I4" s="17">
        <v>45991</v>
      </c>
    </row>
    <row r="5" spans="1:13" x14ac:dyDescent="0.2">
      <c r="A5" s="4">
        <v>45994</v>
      </c>
      <c r="B5" s="5"/>
      <c r="C5" s="6">
        <f t="shared" si="0"/>
        <v>0</v>
      </c>
      <c r="D5" s="5"/>
      <c r="E5" s="6"/>
      <c r="F5" s="5"/>
      <c r="G5" s="7">
        <f t="shared" si="1"/>
        <v>0</v>
      </c>
      <c r="I5" t="s">
        <v>52</v>
      </c>
      <c r="J5">
        <v>1834</v>
      </c>
    </row>
    <row r="6" spans="1:13" x14ac:dyDescent="0.2">
      <c r="A6" s="4">
        <v>45995</v>
      </c>
      <c r="B6" s="5">
        <v>1065</v>
      </c>
      <c r="C6" s="6">
        <f t="shared" si="0"/>
        <v>85.2</v>
      </c>
      <c r="D6" s="5"/>
      <c r="E6" s="6"/>
      <c r="F6" s="5">
        <v>350</v>
      </c>
      <c r="G6" s="7">
        <f t="shared" si="1"/>
        <v>435.2</v>
      </c>
    </row>
    <row r="7" spans="1:13" x14ac:dyDescent="0.2">
      <c r="A7" s="10">
        <v>45996</v>
      </c>
      <c r="B7" s="11">
        <v>2074</v>
      </c>
      <c r="C7" s="11">
        <f t="shared" si="0"/>
        <v>165.92000000000002</v>
      </c>
      <c r="D7" s="11"/>
      <c r="E7" s="11"/>
      <c r="F7" s="11">
        <v>350</v>
      </c>
      <c r="G7" s="11">
        <f t="shared" si="1"/>
        <v>515.92000000000007</v>
      </c>
      <c r="H7">
        <v>200</v>
      </c>
      <c r="J7">
        <f>SUM(J3:J6)</f>
        <v>2277</v>
      </c>
      <c r="L7">
        <v>500</v>
      </c>
      <c r="M7">
        <v>1777</v>
      </c>
    </row>
    <row r="8" spans="1:13" x14ac:dyDescent="0.2">
      <c r="A8" s="4">
        <v>45997</v>
      </c>
      <c r="B8" s="5">
        <v>1718</v>
      </c>
      <c r="C8" s="6">
        <f t="shared" si="0"/>
        <v>137.44000000000003</v>
      </c>
      <c r="D8" s="5"/>
      <c r="E8" s="6"/>
      <c r="F8" s="5">
        <v>350</v>
      </c>
      <c r="G8" s="7">
        <f t="shared" si="1"/>
        <v>487.44000000000005</v>
      </c>
    </row>
    <row r="9" spans="1:13" x14ac:dyDescent="0.2">
      <c r="A9" s="4">
        <v>45998</v>
      </c>
      <c r="B9" s="5">
        <v>1609</v>
      </c>
      <c r="C9" s="6">
        <f t="shared" si="0"/>
        <v>128.72</v>
      </c>
      <c r="D9" s="5"/>
      <c r="E9" s="6"/>
      <c r="F9" s="5">
        <v>350</v>
      </c>
      <c r="G9" s="7">
        <f t="shared" si="1"/>
        <v>478.72</v>
      </c>
      <c r="H9">
        <v>400</v>
      </c>
      <c r="J9">
        <v>487</v>
      </c>
    </row>
    <row r="10" spans="1:13" x14ac:dyDescent="0.2">
      <c r="A10" s="4">
        <v>45999</v>
      </c>
      <c r="B10" s="5">
        <v>250</v>
      </c>
      <c r="C10" s="6">
        <f t="shared" si="0"/>
        <v>20</v>
      </c>
      <c r="D10" s="5"/>
      <c r="E10" s="6"/>
      <c r="F10" s="5">
        <v>350</v>
      </c>
      <c r="G10" s="7">
        <f t="shared" si="1"/>
        <v>370</v>
      </c>
      <c r="J10">
        <v>478</v>
      </c>
    </row>
    <row r="11" spans="1:13" x14ac:dyDescent="0.2">
      <c r="A11" s="4">
        <v>46000</v>
      </c>
      <c r="B11" s="5"/>
      <c r="C11" s="6">
        <f t="shared" si="0"/>
        <v>0</v>
      </c>
      <c r="D11" s="5"/>
      <c r="E11" s="6"/>
      <c r="F11" s="5"/>
      <c r="G11" s="7">
        <f t="shared" si="1"/>
        <v>0</v>
      </c>
      <c r="J11">
        <v>370</v>
      </c>
    </row>
    <row r="12" spans="1:13" x14ac:dyDescent="0.2">
      <c r="A12" s="4">
        <v>46001</v>
      </c>
      <c r="B12" s="5">
        <v>849</v>
      </c>
      <c r="C12" s="6">
        <f t="shared" si="0"/>
        <v>67.92</v>
      </c>
      <c r="D12" s="5"/>
      <c r="E12" s="6"/>
      <c r="F12" s="5">
        <v>350</v>
      </c>
      <c r="G12" s="7">
        <f t="shared" si="1"/>
        <v>417.92</v>
      </c>
      <c r="H12">
        <v>200</v>
      </c>
      <c r="J12">
        <v>417</v>
      </c>
    </row>
    <row r="13" spans="1:13" x14ac:dyDescent="0.2">
      <c r="A13" s="4">
        <v>46002</v>
      </c>
      <c r="B13" s="5">
        <v>1485</v>
      </c>
      <c r="C13" s="6">
        <f t="shared" si="0"/>
        <v>118.80000000000001</v>
      </c>
      <c r="D13" s="5"/>
      <c r="E13" s="6"/>
      <c r="F13" s="5">
        <v>350</v>
      </c>
      <c r="G13" s="7">
        <f t="shared" si="1"/>
        <v>468.8</v>
      </c>
      <c r="J13">
        <v>468</v>
      </c>
    </row>
    <row r="14" spans="1:13" x14ac:dyDescent="0.2">
      <c r="A14" s="10">
        <v>46003</v>
      </c>
      <c r="B14" s="11">
        <v>1383</v>
      </c>
      <c r="C14" s="11">
        <f t="shared" si="0"/>
        <v>110.64000000000001</v>
      </c>
      <c r="D14" s="11"/>
      <c r="E14" s="11"/>
      <c r="F14" s="11">
        <v>350</v>
      </c>
      <c r="G14" s="11">
        <f t="shared" si="1"/>
        <v>460.64</v>
      </c>
      <c r="I14" s="12"/>
      <c r="J14">
        <v>460</v>
      </c>
      <c r="K14" t="s">
        <v>14</v>
      </c>
      <c r="L14" t="s">
        <v>81</v>
      </c>
    </row>
    <row r="15" spans="1:13" x14ac:dyDescent="0.2">
      <c r="A15" s="4">
        <v>46004</v>
      </c>
      <c r="B15" s="5">
        <v>1603</v>
      </c>
      <c r="C15" s="6">
        <f t="shared" si="0"/>
        <v>128.24</v>
      </c>
      <c r="D15" s="5"/>
      <c r="E15" s="6"/>
      <c r="F15" s="5">
        <v>350</v>
      </c>
      <c r="G15" s="7">
        <f t="shared" si="1"/>
        <v>478.24</v>
      </c>
      <c r="I15" s="12">
        <v>478</v>
      </c>
      <c r="J15" s="9">
        <f>SUM(J8:J14)</f>
        <v>2680</v>
      </c>
      <c r="K15">
        <v>600</v>
      </c>
      <c r="L15" s="9">
        <v>2080</v>
      </c>
    </row>
    <row r="16" spans="1:13" x14ac:dyDescent="0.2">
      <c r="A16" s="4">
        <v>46005</v>
      </c>
      <c r="B16" s="5">
        <v>1117</v>
      </c>
      <c r="C16" s="6">
        <f t="shared" si="0"/>
        <v>89.360000000000014</v>
      </c>
      <c r="D16" s="5"/>
      <c r="E16" s="6"/>
      <c r="F16" s="5">
        <v>350</v>
      </c>
      <c r="G16" s="7">
        <f t="shared" si="1"/>
        <v>439.36</v>
      </c>
      <c r="I16" s="12">
        <v>439</v>
      </c>
    </row>
    <row r="17" spans="1:11" x14ac:dyDescent="0.2">
      <c r="A17" s="4">
        <v>46006</v>
      </c>
      <c r="B17" s="5">
        <v>700</v>
      </c>
      <c r="C17" s="6">
        <f t="shared" si="0"/>
        <v>56</v>
      </c>
      <c r="D17" s="5"/>
      <c r="E17" s="6"/>
      <c r="F17" s="5">
        <v>350</v>
      </c>
      <c r="G17" s="7">
        <f t="shared" si="1"/>
        <v>406</v>
      </c>
      <c r="I17" s="12">
        <v>406</v>
      </c>
    </row>
    <row r="18" spans="1:11" x14ac:dyDescent="0.2">
      <c r="A18" s="4">
        <v>46007</v>
      </c>
      <c r="B18" s="5">
        <v>1000</v>
      </c>
      <c r="C18" s="6">
        <f t="shared" si="0"/>
        <v>80</v>
      </c>
      <c r="D18" s="5"/>
      <c r="E18" s="6"/>
      <c r="F18" s="5">
        <v>350</v>
      </c>
      <c r="G18" s="7">
        <f t="shared" si="1"/>
        <v>430</v>
      </c>
      <c r="H18">
        <v>300</v>
      </c>
      <c r="I18" s="12">
        <v>430</v>
      </c>
    </row>
    <row r="19" spans="1:11" x14ac:dyDescent="0.2">
      <c r="A19" s="4">
        <v>46008</v>
      </c>
      <c r="B19" s="5">
        <v>1775</v>
      </c>
      <c r="C19" s="6">
        <f t="shared" si="0"/>
        <v>142</v>
      </c>
      <c r="D19" s="5"/>
      <c r="E19" s="6"/>
      <c r="F19" s="5">
        <v>350</v>
      </c>
      <c r="G19" s="7">
        <f t="shared" si="1"/>
        <v>492</v>
      </c>
      <c r="I19" s="12">
        <v>492</v>
      </c>
    </row>
    <row r="20" spans="1:11" x14ac:dyDescent="0.2">
      <c r="A20" s="4">
        <v>46009</v>
      </c>
      <c r="B20" s="5">
        <v>2029</v>
      </c>
      <c r="C20" s="6">
        <f t="shared" si="0"/>
        <v>162.32000000000002</v>
      </c>
      <c r="D20" s="5"/>
      <c r="E20" s="6"/>
      <c r="F20" s="5">
        <v>350</v>
      </c>
      <c r="G20" s="7">
        <f t="shared" si="1"/>
        <v>512.32000000000005</v>
      </c>
      <c r="H20">
        <v>300</v>
      </c>
      <c r="I20" s="12">
        <v>512</v>
      </c>
    </row>
    <row r="21" spans="1:11" x14ac:dyDescent="0.2">
      <c r="A21" s="10">
        <v>46010</v>
      </c>
      <c r="B21" s="11">
        <v>1450</v>
      </c>
      <c r="C21" s="11">
        <f t="shared" si="0"/>
        <v>116</v>
      </c>
      <c r="D21" s="11"/>
      <c r="E21" s="11"/>
      <c r="F21" s="11">
        <v>350</v>
      </c>
      <c r="G21" s="11">
        <f t="shared" si="1"/>
        <v>466</v>
      </c>
      <c r="I21" s="12">
        <v>466</v>
      </c>
      <c r="J21" t="s">
        <v>78</v>
      </c>
    </row>
    <row r="22" spans="1:11" x14ac:dyDescent="0.2">
      <c r="A22" s="4">
        <v>46011</v>
      </c>
      <c r="B22" s="5"/>
      <c r="C22" s="6">
        <f t="shared" si="0"/>
        <v>0</v>
      </c>
      <c r="D22" s="5"/>
      <c r="E22" s="6"/>
      <c r="F22" s="5"/>
      <c r="G22" s="7">
        <f t="shared" si="1"/>
        <v>0</v>
      </c>
      <c r="I22" s="9">
        <f>SUM(I13:I21)</f>
        <v>3223</v>
      </c>
      <c r="J22">
        <v>600</v>
      </c>
      <c r="K22" s="9">
        <v>2633</v>
      </c>
    </row>
    <row r="23" spans="1:11" x14ac:dyDescent="0.2">
      <c r="A23" s="4">
        <v>46012</v>
      </c>
      <c r="B23" s="5">
        <v>2187</v>
      </c>
      <c r="C23" s="6">
        <f t="shared" si="0"/>
        <v>174.96000000000004</v>
      </c>
      <c r="D23" s="5"/>
      <c r="E23" s="6"/>
      <c r="F23" s="5">
        <v>350</v>
      </c>
      <c r="G23" s="7">
        <f t="shared" si="1"/>
        <v>524.96</v>
      </c>
      <c r="I23" s="17">
        <v>46012</v>
      </c>
      <c r="J23">
        <v>524</v>
      </c>
    </row>
    <row r="24" spans="1:11" x14ac:dyDescent="0.2">
      <c r="A24" s="4">
        <v>46013</v>
      </c>
      <c r="B24" s="5">
        <v>1346</v>
      </c>
      <c r="C24" s="6">
        <f t="shared" si="0"/>
        <v>107.68</v>
      </c>
      <c r="D24" s="5"/>
      <c r="E24" s="6"/>
      <c r="F24" s="5">
        <v>350</v>
      </c>
      <c r="G24" s="7">
        <f t="shared" si="1"/>
        <v>457.68</v>
      </c>
      <c r="H24">
        <v>600</v>
      </c>
      <c r="I24" s="17">
        <v>46013</v>
      </c>
      <c r="J24">
        <v>457</v>
      </c>
    </row>
    <row r="25" spans="1:11" x14ac:dyDescent="0.2">
      <c r="A25" s="4">
        <v>46014</v>
      </c>
      <c r="B25" s="5">
        <v>1915</v>
      </c>
      <c r="C25" s="6">
        <f t="shared" si="0"/>
        <v>153.20000000000002</v>
      </c>
      <c r="D25" s="5"/>
      <c r="E25" s="6"/>
      <c r="F25" s="5">
        <v>350</v>
      </c>
      <c r="G25" s="7">
        <f t="shared" si="1"/>
        <v>503.20000000000005</v>
      </c>
      <c r="I25" s="17">
        <v>46014</v>
      </c>
      <c r="J25">
        <v>503</v>
      </c>
    </row>
    <row r="26" spans="1:11" x14ac:dyDescent="0.2">
      <c r="A26" s="4">
        <v>46015</v>
      </c>
      <c r="B26" s="5">
        <v>1445</v>
      </c>
      <c r="C26" s="6">
        <f t="shared" si="0"/>
        <v>115.60000000000001</v>
      </c>
      <c r="D26" s="5"/>
      <c r="E26" s="6"/>
      <c r="F26" s="5">
        <v>350</v>
      </c>
      <c r="G26" s="7">
        <f t="shared" si="1"/>
        <v>465.6</v>
      </c>
      <c r="I26" s="17">
        <v>46015</v>
      </c>
      <c r="J26">
        <v>465</v>
      </c>
    </row>
    <row r="27" spans="1:11" x14ac:dyDescent="0.2">
      <c r="A27" s="4">
        <v>46016</v>
      </c>
      <c r="B27" s="5">
        <v>1490</v>
      </c>
      <c r="C27" s="6">
        <f t="shared" si="0"/>
        <v>119.2</v>
      </c>
      <c r="D27" s="5"/>
      <c r="E27" s="6"/>
      <c r="F27" s="5">
        <v>350</v>
      </c>
      <c r="G27" s="7">
        <f t="shared" si="1"/>
        <v>469.2</v>
      </c>
      <c r="I27" s="17">
        <v>46016</v>
      </c>
      <c r="J27">
        <v>469</v>
      </c>
      <c r="K27" t="s">
        <v>177</v>
      </c>
    </row>
    <row r="28" spans="1:11" x14ac:dyDescent="0.2">
      <c r="A28" s="10">
        <v>46017</v>
      </c>
      <c r="B28" s="11">
        <v>1195</v>
      </c>
      <c r="C28" s="11">
        <f t="shared" si="0"/>
        <v>95.600000000000009</v>
      </c>
      <c r="D28" s="11"/>
      <c r="E28" s="11"/>
      <c r="F28" s="11">
        <v>350</v>
      </c>
      <c r="G28" s="11">
        <f t="shared" si="1"/>
        <v>445.6</v>
      </c>
      <c r="I28" s="17">
        <v>46017</v>
      </c>
      <c r="J28">
        <v>445</v>
      </c>
      <c r="K28" t="s">
        <v>178</v>
      </c>
    </row>
    <row r="29" spans="1:11" x14ac:dyDescent="0.2">
      <c r="A29" s="4">
        <v>46018</v>
      </c>
      <c r="B29" s="5"/>
      <c r="C29" s="6">
        <f t="shared" si="0"/>
        <v>0</v>
      </c>
      <c r="D29" s="5"/>
      <c r="E29" s="6"/>
      <c r="F29" s="5"/>
      <c r="G29" s="7">
        <f t="shared" si="1"/>
        <v>0</v>
      </c>
      <c r="J29" s="9">
        <f>SUM(J23:J28)</f>
        <v>2863</v>
      </c>
      <c r="K29" s="9">
        <v>2263</v>
      </c>
    </row>
    <row r="30" spans="1:11" x14ac:dyDescent="0.2">
      <c r="A30" s="4">
        <v>46019</v>
      </c>
      <c r="B30" s="5"/>
      <c r="C30" s="6">
        <f t="shared" si="0"/>
        <v>0</v>
      </c>
      <c r="D30" s="5"/>
      <c r="E30" s="6"/>
      <c r="F30" s="5"/>
      <c r="G30" s="7">
        <f t="shared" si="1"/>
        <v>0</v>
      </c>
    </row>
    <row r="31" spans="1:11" x14ac:dyDescent="0.2">
      <c r="A31" s="4">
        <v>46020</v>
      </c>
      <c r="B31" s="5"/>
      <c r="C31" s="6">
        <f t="shared" si="0"/>
        <v>0</v>
      </c>
      <c r="D31" s="5"/>
      <c r="E31" s="6"/>
      <c r="F31" s="5"/>
      <c r="G31" s="7">
        <f t="shared" si="1"/>
        <v>0</v>
      </c>
    </row>
    <row r="32" spans="1:11" x14ac:dyDescent="0.2">
      <c r="A32" s="4">
        <v>46021</v>
      </c>
      <c r="B32" s="5"/>
      <c r="C32" s="6">
        <f t="shared" si="0"/>
        <v>0</v>
      </c>
      <c r="D32" s="5"/>
      <c r="E32" s="6"/>
      <c r="F32" s="5"/>
      <c r="G32" s="7">
        <f t="shared" si="1"/>
        <v>0</v>
      </c>
    </row>
    <row r="33" spans="1:7" x14ac:dyDescent="0.2">
      <c r="A33" s="4">
        <v>46022</v>
      </c>
      <c r="B33" s="5"/>
      <c r="C33" s="6">
        <f t="shared" si="0"/>
        <v>0</v>
      </c>
      <c r="D33" s="5"/>
      <c r="E33" s="6"/>
      <c r="F33" s="5"/>
      <c r="G33" s="7">
        <f t="shared" si="1"/>
        <v>0</v>
      </c>
    </row>
    <row r="34" spans="1:7" x14ac:dyDescent="0.2">
      <c r="A34" s="5" t="s">
        <v>6</v>
      </c>
      <c r="B34" s="5"/>
      <c r="C34" s="5"/>
      <c r="D34" s="5"/>
      <c r="E34" s="5"/>
      <c r="F34" s="5"/>
      <c r="G34" s="5"/>
    </row>
  </sheetData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6ECB-CBBA-6141-AA11-70B3C7EA64A3}">
  <dimension ref="A1:N34"/>
  <sheetViews>
    <sheetView topLeftCell="A10" zoomScale="143" zoomScaleNormal="110" workbookViewId="0">
      <selection activeCell="K28" sqref="K28"/>
    </sheetView>
  </sheetViews>
  <sheetFormatPr baseColWidth="10" defaultRowHeight="16" x14ac:dyDescent="0.2"/>
  <sheetData>
    <row r="1" spans="1:14" x14ac:dyDescent="0.2">
      <c r="A1" t="s">
        <v>36</v>
      </c>
    </row>
    <row r="2" spans="1:14" ht="34" x14ac:dyDescent="0.2">
      <c r="A2" s="1" t="s">
        <v>0</v>
      </c>
      <c r="B2" s="1" t="s">
        <v>1</v>
      </c>
      <c r="C2" s="2" t="s">
        <v>2</v>
      </c>
      <c r="D2" s="1" t="s">
        <v>3</v>
      </c>
      <c r="E2" s="2" t="s">
        <v>2</v>
      </c>
      <c r="F2" s="1" t="s">
        <v>4</v>
      </c>
      <c r="G2" s="3" t="s">
        <v>5</v>
      </c>
      <c r="H2" t="s">
        <v>14</v>
      </c>
      <c r="I2" t="s">
        <v>22</v>
      </c>
      <c r="J2" t="s">
        <v>23</v>
      </c>
      <c r="K2" s="12" t="s">
        <v>21</v>
      </c>
      <c r="L2" t="s">
        <v>53</v>
      </c>
      <c r="M2" t="s">
        <v>66</v>
      </c>
    </row>
    <row r="3" spans="1:14" x14ac:dyDescent="0.2">
      <c r="A3" s="4">
        <v>45992</v>
      </c>
      <c r="B3" s="5"/>
      <c r="C3" s="6">
        <f>(B3*0.9*0.1)</f>
        <v>0</v>
      </c>
      <c r="D3" s="5"/>
      <c r="E3" s="6"/>
      <c r="F3" s="5"/>
      <c r="G3" s="7">
        <f>(C3+E3+F3)</f>
        <v>0</v>
      </c>
      <c r="I3" t="s">
        <v>43</v>
      </c>
      <c r="J3" s="12">
        <v>473</v>
      </c>
      <c r="K3" s="12"/>
      <c r="L3" s="17"/>
    </row>
    <row r="4" spans="1:14" x14ac:dyDescent="0.2">
      <c r="A4" s="4">
        <v>45993</v>
      </c>
      <c r="B4" s="5">
        <v>615</v>
      </c>
      <c r="C4" s="6">
        <f t="shared" ref="C4:C33" si="0">(B4*0.9*0.1)</f>
        <v>55.35</v>
      </c>
      <c r="D4" s="5"/>
      <c r="E4" s="6"/>
      <c r="F4" s="5">
        <v>350</v>
      </c>
      <c r="G4" s="7">
        <f t="shared" ref="G4:G33" si="1">(C4+E4+F4)</f>
        <v>405.35</v>
      </c>
      <c r="I4" s="17">
        <v>45991</v>
      </c>
      <c r="J4">
        <v>495</v>
      </c>
    </row>
    <row r="5" spans="1:14" x14ac:dyDescent="0.2">
      <c r="A5" s="4">
        <v>45994</v>
      </c>
      <c r="B5" s="5">
        <v>1963</v>
      </c>
      <c r="C5" s="6">
        <f t="shared" si="0"/>
        <v>176.67000000000002</v>
      </c>
      <c r="D5" s="5"/>
      <c r="E5" s="6"/>
      <c r="F5" s="5">
        <v>350</v>
      </c>
      <c r="G5" s="7">
        <f t="shared" si="1"/>
        <v>526.67000000000007</v>
      </c>
      <c r="I5" t="s">
        <v>52</v>
      </c>
      <c r="J5">
        <v>1837</v>
      </c>
    </row>
    <row r="6" spans="1:14" x14ac:dyDescent="0.2">
      <c r="A6" s="4">
        <v>45995</v>
      </c>
      <c r="B6" s="5">
        <v>800</v>
      </c>
      <c r="C6" s="6">
        <f t="shared" si="0"/>
        <v>72</v>
      </c>
      <c r="D6" s="5"/>
      <c r="E6" s="6"/>
      <c r="F6" s="5">
        <v>350</v>
      </c>
      <c r="G6" s="7">
        <f t="shared" si="1"/>
        <v>422</v>
      </c>
    </row>
    <row r="7" spans="1:14" x14ac:dyDescent="0.2">
      <c r="A7" s="4">
        <v>45996</v>
      </c>
      <c r="B7" s="5">
        <v>1484</v>
      </c>
      <c r="C7" s="6">
        <f t="shared" si="0"/>
        <v>133.56000000000003</v>
      </c>
      <c r="D7" s="5"/>
      <c r="E7" s="6"/>
      <c r="F7" s="5">
        <v>350</v>
      </c>
      <c r="G7" s="7">
        <f t="shared" si="1"/>
        <v>483.56000000000006</v>
      </c>
      <c r="J7" s="9">
        <f>SUM(J3:J6)</f>
        <v>2805</v>
      </c>
      <c r="L7">
        <v>500</v>
      </c>
      <c r="M7" s="9">
        <v>2305</v>
      </c>
    </row>
    <row r="8" spans="1:14" x14ac:dyDescent="0.2">
      <c r="A8" s="4">
        <v>45997</v>
      </c>
      <c r="B8" s="5">
        <v>1774</v>
      </c>
      <c r="C8" s="6">
        <f t="shared" si="0"/>
        <v>159.66000000000003</v>
      </c>
      <c r="D8" s="5"/>
      <c r="E8" s="6"/>
      <c r="F8" s="5">
        <v>350</v>
      </c>
      <c r="G8" s="7">
        <f t="shared" si="1"/>
        <v>509.66</v>
      </c>
    </row>
    <row r="9" spans="1:14" x14ac:dyDescent="0.2">
      <c r="A9" s="4">
        <v>45998</v>
      </c>
      <c r="B9" s="5">
        <v>1724</v>
      </c>
      <c r="C9" s="6">
        <f t="shared" si="0"/>
        <v>155.16000000000003</v>
      </c>
      <c r="D9" s="5"/>
      <c r="E9" s="6"/>
      <c r="F9" s="5">
        <v>350</v>
      </c>
      <c r="G9" s="7">
        <f t="shared" si="1"/>
        <v>505.16</v>
      </c>
      <c r="H9">
        <v>400</v>
      </c>
      <c r="K9">
        <v>509.66</v>
      </c>
    </row>
    <row r="10" spans="1:14" x14ac:dyDescent="0.2">
      <c r="A10" s="4">
        <v>45999</v>
      </c>
      <c r="B10" s="5">
        <v>2434</v>
      </c>
      <c r="C10" s="6">
        <f t="shared" si="0"/>
        <v>219.06</v>
      </c>
      <c r="D10" s="5"/>
      <c r="E10" s="6"/>
      <c r="F10" s="5">
        <v>350</v>
      </c>
      <c r="G10" s="7">
        <f t="shared" si="1"/>
        <v>569.05999999999995</v>
      </c>
      <c r="H10">
        <v>200</v>
      </c>
      <c r="K10">
        <v>505</v>
      </c>
    </row>
    <row r="11" spans="1:14" x14ac:dyDescent="0.2">
      <c r="A11" s="4">
        <v>46000</v>
      </c>
      <c r="B11" s="5"/>
      <c r="C11" s="6">
        <f t="shared" si="0"/>
        <v>0</v>
      </c>
      <c r="D11" s="5"/>
      <c r="E11" s="6"/>
      <c r="F11" s="5"/>
      <c r="G11" s="7">
        <f t="shared" si="1"/>
        <v>0</v>
      </c>
      <c r="K11">
        <v>569</v>
      </c>
    </row>
    <row r="12" spans="1:14" x14ac:dyDescent="0.2">
      <c r="A12" s="4">
        <v>46001</v>
      </c>
      <c r="B12" s="5">
        <v>910</v>
      </c>
      <c r="C12" s="6">
        <f t="shared" si="0"/>
        <v>81.900000000000006</v>
      </c>
      <c r="D12" s="5"/>
      <c r="E12" s="6"/>
      <c r="F12" s="5">
        <v>350</v>
      </c>
      <c r="G12" s="7">
        <f t="shared" si="1"/>
        <v>431.9</v>
      </c>
      <c r="K12">
        <v>431</v>
      </c>
    </row>
    <row r="13" spans="1:14" x14ac:dyDescent="0.2">
      <c r="A13" s="4">
        <v>46002</v>
      </c>
      <c r="B13" s="5">
        <v>1042</v>
      </c>
      <c r="C13" s="6">
        <f t="shared" si="0"/>
        <v>93.780000000000015</v>
      </c>
      <c r="D13" s="5"/>
      <c r="E13" s="6"/>
      <c r="F13" s="5">
        <v>350</v>
      </c>
      <c r="G13" s="7">
        <f t="shared" si="1"/>
        <v>443.78000000000003</v>
      </c>
      <c r="K13">
        <v>443</v>
      </c>
    </row>
    <row r="14" spans="1:14" x14ac:dyDescent="0.2">
      <c r="A14" s="10">
        <v>46003</v>
      </c>
      <c r="B14" s="11">
        <v>1870</v>
      </c>
      <c r="C14" s="11">
        <f t="shared" si="0"/>
        <v>168.3</v>
      </c>
      <c r="D14" s="11"/>
      <c r="E14" s="11"/>
      <c r="F14" s="11">
        <v>350</v>
      </c>
      <c r="G14" s="11">
        <f t="shared" si="1"/>
        <v>518.29999999999995</v>
      </c>
      <c r="I14" s="12"/>
      <c r="K14">
        <v>518</v>
      </c>
      <c r="L14" t="s">
        <v>14</v>
      </c>
      <c r="M14" t="s">
        <v>8</v>
      </c>
      <c r="N14" t="s">
        <v>81</v>
      </c>
    </row>
    <row r="15" spans="1:14" x14ac:dyDescent="0.2">
      <c r="A15" s="4">
        <v>46004</v>
      </c>
      <c r="B15" s="5">
        <v>1520</v>
      </c>
      <c r="C15" s="6">
        <f t="shared" si="0"/>
        <v>136.80000000000001</v>
      </c>
      <c r="D15" s="5"/>
      <c r="E15" s="6"/>
      <c r="F15" s="5">
        <v>350</v>
      </c>
      <c r="G15" s="7">
        <f t="shared" si="1"/>
        <v>486.8</v>
      </c>
      <c r="I15" s="12">
        <v>486</v>
      </c>
      <c r="K15" s="9">
        <f>SUM(K8:K14)</f>
        <v>2975.66</v>
      </c>
      <c r="L15">
        <v>600</v>
      </c>
      <c r="M15">
        <v>300</v>
      </c>
      <c r="N15" s="9">
        <v>2075</v>
      </c>
    </row>
    <row r="16" spans="1:14" x14ac:dyDescent="0.2">
      <c r="A16" s="4">
        <v>46005</v>
      </c>
      <c r="B16" s="5">
        <v>855</v>
      </c>
      <c r="C16" s="6">
        <f t="shared" si="0"/>
        <v>76.95</v>
      </c>
      <c r="D16" s="5"/>
      <c r="E16" s="6"/>
      <c r="F16" s="5">
        <v>350</v>
      </c>
      <c r="G16" s="7">
        <f t="shared" si="1"/>
        <v>426.95</v>
      </c>
      <c r="H16">
        <v>300</v>
      </c>
      <c r="I16" s="12">
        <v>427</v>
      </c>
    </row>
    <row r="17" spans="1:11" x14ac:dyDescent="0.2">
      <c r="A17" s="4">
        <v>46006</v>
      </c>
      <c r="B17" s="5">
        <v>1060</v>
      </c>
      <c r="C17" s="6">
        <f t="shared" si="0"/>
        <v>95.4</v>
      </c>
      <c r="D17" s="5"/>
      <c r="E17" s="6"/>
      <c r="F17" s="5">
        <v>350</v>
      </c>
      <c r="G17" s="7">
        <f t="shared" si="1"/>
        <v>445.4</v>
      </c>
      <c r="H17">
        <v>300</v>
      </c>
      <c r="I17" s="12">
        <v>445</v>
      </c>
    </row>
    <row r="18" spans="1:11" x14ac:dyDescent="0.2">
      <c r="A18" s="4">
        <v>46007</v>
      </c>
      <c r="B18" s="5"/>
      <c r="C18" s="6">
        <f t="shared" si="0"/>
        <v>0</v>
      </c>
      <c r="D18" s="5"/>
      <c r="E18" s="6"/>
      <c r="F18" s="5"/>
      <c r="G18" s="7">
        <f t="shared" si="1"/>
        <v>0</v>
      </c>
      <c r="I18" s="12">
        <v>501</v>
      </c>
    </row>
    <row r="19" spans="1:11" x14ac:dyDescent="0.2">
      <c r="A19" s="4">
        <v>46008</v>
      </c>
      <c r="B19" s="5">
        <v>1685</v>
      </c>
      <c r="C19" s="6">
        <f t="shared" si="0"/>
        <v>151.65</v>
      </c>
      <c r="D19" s="5"/>
      <c r="E19" s="6"/>
      <c r="F19" s="5">
        <v>350</v>
      </c>
      <c r="G19" s="7">
        <f t="shared" si="1"/>
        <v>501.65</v>
      </c>
      <c r="I19" s="12">
        <v>560</v>
      </c>
    </row>
    <row r="20" spans="1:11" x14ac:dyDescent="0.2">
      <c r="A20" s="4">
        <v>46009</v>
      </c>
      <c r="B20" s="5">
        <v>2330</v>
      </c>
      <c r="C20" s="6">
        <f t="shared" si="0"/>
        <v>209.70000000000002</v>
      </c>
      <c r="D20" s="5"/>
      <c r="E20" s="6"/>
      <c r="F20" s="5">
        <v>350</v>
      </c>
      <c r="G20" s="7">
        <f t="shared" si="1"/>
        <v>559.70000000000005</v>
      </c>
      <c r="I20" s="12">
        <v>550</v>
      </c>
      <c r="J20" t="s">
        <v>78</v>
      </c>
    </row>
    <row r="21" spans="1:11" x14ac:dyDescent="0.2">
      <c r="A21" s="10">
        <v>46010</v>
      </c>
      <c r="B21" s="11">
        <v>2230</v>
      </c>
      <c r="C21" s="11">
        <f t="shared" si="0"/>
        <v>200.70000000000002</v>
      </c>
      <c r="D21" s="11"/>
      <c r="E21" s="11"/>
      <c r="F21" s="11">
        <v>350</v>
      </c>
      <c r="G21" s="11">
        <f t="shared" si="1"/>
        <v>550.70000000000005</v>
      </c>
      <c r="I21">
        <f>SUM(I14:I20)</f>
        <v>2969</v>
      </c>
      <c r="J21">
        <v>600</v>
      </c>
      <c r="K21" s="9">
        <v>2369</v>
      </c>
    </row>
    <row r="22" spans="1:11" x14ac:dyDescent="0.2">
      <c r="A22" s="4">
        <v>46011</v>
      </c>
      <c r="B22" s="5">
        <v>2390</v>
      </c>
      <c r="C22" s="6">
        <f t="shared" si="0"/>
        <v>215.10000000000002</v>
      </c>
      <c r="D22" s="5"/>
      <c r="E22" s="6"/>
      <c r="F22" s="5">
        <v>350</v>
      </c>
      <c r="G22" s="7">
        <f t="shared" si="1"/>
        <v>565.1</v>
      </c>
      <c r="I22" s="17">
        <v>46011</v>
      </c>
      <c r="J22">
        <v>565</v>
      </c>
    </row>
    <row r="23" spans="1:11" x14ac:dyDescent="0.2">
      <c r="A23" s="4">
        <v>46012</v>
      </c>
      <c r="B23" s="5">
        <v>3185</v>
      </c>
      <c r="C23" s="6">
        <f t="shared" si="0"/>
        <v>286.65000000000003</v>
      </c>
      <c r="D23" s="5"/>
      <c r="E23" s="6"/>
      <c r="F23" s="5">
        <v>350</v>
      </c>
      <c r="G23" s="7">
        <f t="shared" si="1"/>
        <v>636.65000000000009</v>
      </c>
      <c r="I23" s="17">
        <v>46012</v>
      </c>
      <c r="J23">
        <v>636</v>
      </c>
    </row>
    <row r="24" spans="1:11" x14ac:dyDescent="0.2">
      <c r="A24" s="4">
        <v>46013</v>
      </c>
      <c r="B24" s="5">
        <v>2050</v>
      </c>
      <c r="C24" s="6">
        <f t="shared" si="0"/>
        <v>184.5</v>
      </c>
      <c r="D24" s="5"/>
      <c r="E24" s="6"/>
      <c r="F24" s="5">
        <v>350</v>
      </c>
      <c r="G24" s="7">
        <f t="shared" si="1"/>
        <v>534.5</v>
      </c>
      <c r="H24">
        <v>600</v>
      </c>
      <c r="I24" s="17">
        <v>46013</v>
      </c>
      <c r="J24">
        <v>534</v>
      </c>
    </row>
    <row r="25" spans="1:11" x14ac:dyDescent="0.2">
      <c r="A25" s="4">
        <v>46014</v>
      </c>
      <c r="B25" s="5">
        <v>1559</v>
      </c>
      <c r="C25" s="6">
        <f t="shared" si="0"/>
        <v>140.31000000000003</v>
      </c>
      <c r="D25" s="5"/>
      <c r="E25" s="6"/>
      <c r="F25" s="5">
        <v>350</v>
      </c>
      <c r="G25" s="7">
        <f t="shared" si="1"/>
        <v>490.31000000000006</v>
      </c>
      <c r="I25" s="17">
        <v>46014</v>
      </c>
      <c r="J25">
        <v>490</v>
      </c>
    </row>
    <row r="26" spans="1:11" x14ac:dyDescent="0.2">
      <c r="A26" s="4">
        <v>46015</v>
      </c>
      <c r="B26" s="5">
        <v>1145</v>
      </c>
      <c r="C26" s="6">
        <f t="shared" si="0"/>
        <v>103.05000000000001</v>
      </c>
      <c r="D26" s="5"/>
      <c r="E26" s="6"/>
      <c r="F26" s="5">
        <v>350</v>
      </c>
      <c r="G26" s="7">
        <f t="shared" si="1"/>
        <v>453.05</v>
      </c>
      <c r="I26" s="17">
        <v>46015</v>
      </c>
      <c r="J26">
        <v>453</v>
      </c>
      <c r="K26" t="s">
        <v>180</v>
      </c>
    </row>
    <row r="27" spans="1:11" x14ac:dyDescent="0.2">
      <c r="A27" s="4">
        <v>46016</v>
      </c>
      <c r="B27" s="5"/>
      <c r="C27" s="6">
        <f t="shared" si="0"/>
        <v>0</v>
      </c>
      <c r="D27" s="5"/>
      <c r="E27" s="6"/>
      <c r="F27" s="5"/>
      <c r="G27" s="7">
        <f t="shared" si="1"/>
        <v>0</v>
      </c>
      <c r="J27" s="9">
        <f>SUM(J22:J26)</f>
        <v>2678</v>
      </c>
      <c r="K27" s="9">
        <v>2078</v>
      </c>
    </row>
    <row r="28" spans="1:11" x14ac:dyDescent="0.2">
      <c r="A28" s="10">
        <v>46017</v>
      </c>
      <c r="B28" s="11"/>
      <c r="C28" s="11">
        <f t="shared" si="0"/>
        <v>0</v>
      </c>
      <c r="D28" s="11"/>
      <c r="E28" s="11"/>
      <c r="F28" s="11"/>
      <c r="G28" s="11">
        <f t="shared" si="1"/>
        <v>0</v>
      </c>
    </row>
    <row r="29" spans="1:11" x14ac:dyDescent="0.2">
      <c r="A29" s="4">
        <v>46018</v>
      </c>
      <c r="B29" s="5"/>
      <c r="C29" s="6">
        <f t="shared" si="0"/>
        <v>0</v>
      </c>
      <c r="D29" s="5"/>
      <c r="E29" s="6"/>
      <c r="F29" s="5"/>
      <c r="G29" s="7">
        <f t="shared" si="1"/>
        <v>0</v>
      </c>
    </row>
    <row r="30" spans="1:11" x14ac:dyDescent="0.2">
      <c r="A30" s="4">
        <v>46019</v>
      </c>
      <c r="B30" s="5"/>
      <c r="C30" s="6">
        <f t="shared" si="0"/>
        <v>0</v>
      </c>
      <c r="D30" s="5"/>
      <c r="E30" s="6"/>
      <c r="F30" s="5"/>
      <c r="G30" s="7">
        <f t="shared" si="1"/>
        <v>0</v>
      </c>
    </row>
    <row r="31" spans="1:11" x14ac:dyDescent="0.2">
      <c r="A31" s="4">
        <v>46020</v>
      </c>
      <c r="B31" s="5"/>
      <c r="C31" s="6">
        <f t="shared" si="0"/>
        <v>0</v>
      </c>
      <c r="D31" s="5"/>
      <c r="E31" s="6"/>
      <c r="F31" s="5"/>
      <c r="G31" s="7">
        <f t="shared" si="1"/>
        <v>0</v>
      </c>
    </row>
    <row r="32" spans="1:11" x14ac:dyDescent="0.2">
      <c r="A32" s="4">
        <v>46021</v>
      </c>
      <c r="B32" s="5"/>
      <c r="C32" s="6">
        <f t="shared" si="0"/>
        <v>0</v>
      </c>
      <c r="D32" s="5"/>
      <c r="E32" s="6"/>
      <c r="F32" s="5"/>
      <c r="G32" s="7">
        <f t="shared" si="1"/>
        <v>0</v>
      </c>
    </row>
    <row r="33" spans="1:7" x14ac:dyDescent="0.2">
      <c r="A33" s="4">
        <v>46022</v>
      </c>
      <c r="B33" s="5"/>
      <c r="C33" s="6">
        <f t="shared" si="0"/>
        <v>0</v>
      </c>
      <c r="D33" s="5"/>
      <c r="E33" s="6"/>
      <c r="F33" s="5"/>
      <c r="G33" s="7">
        <f t="shared" si="1"/>
        <v>0</v>
      </c>
    </row>
    <row r="34" spans="1:7" x14ac:dyDescent="0.2">
      <c r="A34" s="5" t="s">
        <v>6</v>
      </c>
      <c r="B34" s="5"/>
      <c r="C34" s="5"/>
      <c r="D34" s="5"/>
      <c r="E34" s="5"/>
      <c r="F34" s="5"/>
      <c r="G34" s="5"/>
    </row>
  </sheetData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9D65-BA48-BF41-81A8-59E0F659DB2A}">
  <dimension ref="A1:M176"/>
  <sheetViews>
    <sheetView tabSelected="1" zoomScale="133" workbookViewId="0">
      <selection activeCell="C104" sqref="C104:D104"/>
    </sheetView>
  </sheetViews>
  <sheetFormatPr baseColWidth="10" defaultRowHeight="16" x14ac:dyDescent="0.2"/>
  <cols>
    <col min="2" max="2" width="11.33203125" customWidth="1"/>
    <col min="8" max="8" width="10.83203125" customWidth="1"/>
  </cols>
  <sheetData>
    <row r="1" spans="1:13" x14ac:dyDescent="0.2">
      <c r="A1" t="s">
        <v>141</v>
      </c>
      <c r="C1" s="30" t="s">
        <v>149</v>
      </c>
      <c r="E1" t="s">
        <v>141</v>
      </c>
      <c r="G1" s="30" t="s">
        <v>149</v>
      </c>
    </row>
    <row r="2" spans="1:13" x14ac:dyDescent="0.2">
      <c r="A2" t="s">
        <v>7</v>
      </c>
      <c r="E2" t="s">
        <v>7</v>
      </c>
    </row>
    <row r="3" spans="1:13" x14ac:dyDescent="0.2">
      <c r="B3" t="s">
        <v>151</v>
      </c>
      <c r="C3" t="s">
        <v>75</v>
      </c>
      <c r="F3" t="s">
        <v>151</v>
      </c>
      <c r="G3" t="s">
        <v>75</v>
      </c>
    </row>
    <row r="4" spans="1:13" x14ac:dyDescent="0.2">
      <c r="A4" s="17">
        <v>46011</v>
      </c>
      <c r="B4" s="35">
        <v>3054</v>
      </c>
      <c r="C4" t="s">
        <v>127</v>
      </c>
      <c r="E4" s="17">
        <v>46011</v>
      </c>
      <c r="F4" s="35">
        <v>3054</v>
      </c>
      <c r="G4" t="s">
        <v>127</v>
      </c>
    </row>
    <row r="5" spans="1:13" x14ac:dyDescent="0.2">
      <c r="A5" s="17">
        <v>46012</v>
      </c>
      <c r="B5" s="35">
        <v>1555</v>
      </c>
      <c r="E5" s="17">
        <v>46012</v>
      </c>
      <c r="F5" s="35">
        <v>1555</v>
      </c>
    </row>
    <row r="6" spans="1:13" x14ac:dyDescent="0.2">
      <c r="A6" s="17">
        <v>46013</v>
      </c>
      <c r="B6" s="35">
        <v>2148</v>
      </c>
      <c r="E6" s="17">
        <v>46013</v>
      </c>
      <c r="F6" s="35">
        <v>2148</v>
      </c>
      <c r="G6" t="s">
        <v>143</v>
      </c>
    </row>
    <row r="7" spans="1:13" x14ac:dyDescent="0.2">
      <c r="A7" s="17">
        <v>46014</v>
      </c>
      <c r="B7" s="35">
        <v>3189</v>
      </c>
      <c r="E7" s="17">
        <v>46014</v>
      </c>
      <c r="F7" s="35">
        <v>3189</v>
      </c>
      <c r="G7" t="s">
        <v>144</v>
      </c>
    </row>
    <row r="8" spans="1:13" x14ac:dyDescent="0.2">
      <c r="A8" s="17">
        <v>46015</v>
      </c>
      <c r="B8" s="35">
        <v>900</v>
      </c>
      <c r="E8" s="17">
        <v>46015</v>
      </c>
      <c r="F8" s="35">
        <v>900</v>
      </c>
      <c r="G8" t="s">
        <v>157</v>
      </c>
    </row>
    <row r="9" spans="1:13" x14ac:dyDescent="0.2">
      <c r="A9" s="17">
        <v>46016</v>
      </c>
      <c r="B9" t="s">
        <v>142</v>
      </c>
      <c r="E9" s="17">
        <v>46016</v>
      </c>
      <c r="F9" t="s">
        <v>142</v>
      </c>
      <c r="G9" t="s">
        <v>145</v>
      </c>
    </row>
    <row r="10" spans="1:13" x14ac:dyDescent="0.2">
      <c r="A10" s="17">
        <v>46017</v>
      </c>
      <c r="B10" s="35">
        <v>1339</v>
      </c>
      <c r="C10" s="9" t="s">
        <v>166</v>
      </c>
      <c r="E10" s="17">
        <v>46017</v>
      </c>
      <c r="F10" s="35">
        <v>1339</v>
      </c>
      <c r="H10" t="s">
        <v>81</v>
      </c>
    </row>
    <row r="11" spans="1:13" x14ac:dyDescent="0.2">
      <c r="B11" s="37">
        <f>SUM(B4:B10)</f>
        <v>12185</v>
      </c>
      <c r="C11" s="8">
        <v>12110</v>
      </c>
      <c r="F11" s="36">
        <f>SUM(F4:F10)</f>
        <v>12185</v>
      </c>
      <c r="H11" s="8">
        <v>10912</v>
      </c>
    </row>
    <row r="12" spans="1:13" x14ac:dyDescent="0.2">
      <c r="B12" t="s">
        <v>158</v>
      </c>
      <c r="C12" s="38"/>
      <c r="D12" s="38"/>
      <c r="M12" s="16"/>
    </row>
    <row r="14" spans="1:13" x14ac:dyDescent="0.2">
      <c r="A14" t="s">
        <v>141</v>
      </c>
      <c r="C14" s="30" t="s">
        <v>149</v>
      </c>
      <c r="E14" t="s">
        <v>141</v>
      </c>
      <c r="G14" s="30" t="s">
        <v>149</v>
      </c>
    </row>
    <row r="15" spans="1:13" x14ac:dyDescent="0.2">
      <c r="A15" t="s">
        <v>150</v>
      </c>
      <c r="C15" s="30"/>
      <c r="E15" t="s">
        <v>150</v>
      </c>
      <c r="G15" s="30"/>
    </row>
    <row r="16" spans="1:13" x14ac:dyDescent="0.2">
      <c r="B16" t="s">
        <v>151</v>
      </c>
      <c r="F16" t="s">
        <v>151</v>
      </c>
      <c r="G16" t="s">
        <v>148</v>
      </c>
    </row>
    <row r="17" spans="1:13" x14ac:dyDescent="0.2">
      <c r="A17" s="17">
        <v>46011</v>
      </c>
      <c r="B17">
        <v>2290</v>
      </c>
      <c r="E17" s="17">
        <v>46011</v>
      </c>
      <c r="F17">
        <v>2290</v>
      </c>
      <c r="G17" t="s">
        <v>146</v>
      </c>
    </row>
    <row r="18" spans="1:13" x14ac:dyDescent="0.2">
      <c r="A18" s="17">
        <v>46012</v>
      </c>
      <c r="B18">
        <v>1523</v>
      </c>
      <c r="E18" s="17">
        <v>46012</v>
      </c>
      <c r="F18">
        <v>1523</v>
      </c>
      <c r="G18" t="s">
        <v>53</v>
      </c>
    </row>
    <row r="19" spans="1:13" x14ac:dyDescent="0.2">
      <c r="A19" s="17">
        <v>46014</v>
      </c>
      <c r="B19">
        <v>3270</v>
      </c>
      <c r="E19" s="17">
        <v>46014</v>
      </c>
      <c r="F19">
        <v>3270</v>
      </c>
      <c r="G19" t="s">
        <v>147</v>
      </c>
    </row>
    <row r="20" spans="1:13" x14ac:dyDescent="0.2">
      <c r="A20" s="17">
        <v>46015</v>
      </c>
      <c r="B20">
        <v>1839</v>
      </c>
      <c r="E20" s="17">
        <v>46015</v>
      </c>
      <c r="F20">
        <v>1839</v>
      </c>
      <c r="G20" t="s">
        <v>168</v>
      </c>
    </row>
    <row r="21" spans="1:13" x14ac:dyDescent="0.2">
      <c r="A21" s="17">
        <v>46016</v>
      </c>
      <c r="B21">
        <v>2379</v>
      </c>
      <c r="E21" s="17">
        <v>46016</v>
      </c>
      <c r="F21">
        <v>2379</v>
      </c>
    </row>
    <row r="22" spans="1:13" x14ac:dyDescent="0.2">
      <c r="A22" s="17">
        <v>46017</v>
      </c>
      <c r="B22">
        <v>1238</v>
      </c>
      <c r="E22" s="17">
        <v>46017</v>
      </c>
      <c r="F22">
        <v>1238</v>
      </c>
      <c r="G22" t="s">
        <v>81</v>
      </c>
    </row>
    <row r="23" spans="1:13" x14ac:dyDescent="0.2">
      <c r="B23" s="9">
        <f>SUM(B17:B22)</f>
        <v>12539</v>
      </c>
      <c r="F23" s="9">
        <f>SUM(F17:F22)</f>
        <v>12539</v>
      </c>
      <c r="G23" s="8">
        <v>11139</v>
      </c>
      <c r="M23" s="16"/>
    </row>
    <row r="24" spans="1:13" x14ac:dyDescent="0.2">
      <c r="B24" t="s">
        <v>158</v>
      </c>
      <c r="C24" s="38"/>
      <c r="D24" s="38"/>
      <c r="G24" s="38"/>
      <c r="H24" s="38"/>
    </row>
    <row r="26" spans="1:13" x14ac:dyDescent="0.2">
      <c r="A26" t="s">
        <v>141</v>
      </c>
      <c r="C26" s="30" t="s">
        <v>149</v>
      </c>
      <c r="E26" t="s">
        <v>141</v>
      </c>
      <c r="G26" s="30" t="s">
        <v>149</v>
      </c>
    </row>
    <row r="27" spans="1:13" x14ac:dyDescent="0.2">
      <c r="A27" t="s">
        <v>152</v>
      </c>
      <c r="C27" s="30"/>
      <c r="E27" t="s">
        <v>152</v>
      </c>
      <c r="G27" s="30"/>
    </row>
    <row r="28" spans="1:13" x14ac:dyDescent="0.2">
      <c r="B28" t="s">
        <v>151</v>
      </c>
      <c r="F28" t="s">
        <v>151</v>
      </c>
      <c r="G28" t="s">
        <v>148</v>
      </c>
    </row>
    <row r="29" spans="1:13" x14ac:dyDescent="0.2">
      <c r="A29" s="17">
        <v>46011</v>
      </c>
      <c r="B29">
        <v>2209</v>
      </c>
      <c r="E29" s="17">
        <v>46011</v>
      </c>
      <c r="F29">
        <v>2209</v>
      </c>
      <c r="G29" t="s">
        <v>80</v>
      </c>
    </row>
    <row r="30" spans="1:13" x14ac:dyDescent="0.2">
      <c r="A30" s="17">
        <v>46012</v>
      </c>
      <c r="B30">
        <v>1587</v>
      </c>
      <c r="E30" s="17">
        <v>46012</v>
      </c>
      <c r="F30">
        <v>1587</v>
      </c>
      <c r="G30">
        <v>100</v>
      </c>
    </row>
    <row r="31" spans="1:13" x14ac:dyDescent="0.2">
      <c r="A31" s="17">
        <v>46014</v>
      </c>
      <c r="B31">
        <v>1447</v>
      </c>
      <c r="E31" s="17">
        <v>46014</v>
      </c>
      <c r="F31">
        <v>1447</v>
      </c>
    </row>
    <row r="32" spans="1:13" x14ac:dyDescent="0.2">
      <c r="A32" s="17">
        <v>46015</v>
      </c>
      <c r="B32">
        <v>3235</v>
      </c>
      <c r="E32" s="17">
        <v>46015</v>
      </c>
      <c r="F32">
        <v>3235</v>
      </c>
    </row>
    <row r="33" spans="1:10" x14ac:dyDescent="0.2">
      <c r="A33" s="17">
        <v>46017</v>
      </c>
      <c r="B33">
        <v>1447</v>
      </c>
      <c r="E33" s="17">
        <v>46017</v>
      </c>
      <c r="F33">
        <v>1447</v>
      </c>
      <c r="G33" t="s">
        <v>81</v>
      </c>
    </row>
    <row r="34" spans="1:10" x14ac:dyDescent="0.2">
      <c r="B34" s="36">
        <f>SUM(B29:B33)</f>
        <v>9925</v>
      </c>
      <c r="F34" s="36">
        <f>SUM(F29:F33)</f>
        <v>9925</v>
      </c>
      <c r="G34" s="8">
        <v>8825</v>
      </c>
    </row>
    <row r="35" spans="1:10" x14ac:dyDescent="0.2">
      <c r="B35" t="s">
        <v>158</v>
      </c>
      <c r="C35" s="38"/>
      <c r="D35" s="38"/>
      <c r="F35" s="12"/>
      <c r="G35" s="16"/>
    </row>
    <row r="37" spans="1:10" x14ac:dyDescent="0.2">
      <c r="A37" t="s">
        <v>141</v>
      </c>
      <c r="C37" s="30" t="s">
        <v>149</v>
      </c>
      <c r="E37" t="s">
        <v>141</v>
      </c>
      <c r="G37" s="30" t="s">
        <v>149</v>
      </c>
    </row>
    <row r="38" spans="1:10" x14ac:dyDescent="0.2">
      <c r="A38" t="s">
        <v>155</v>
      </c>
      <c r="C38" s="30"/>
      <c r="E38" t="s">
        <v>155</v>
      </c>
      <c r="G38" s="30"/>
    </row>
    <row r="39" spans="1:10" x14ac:dyDescent="0.2">
      <c r="B39" t="s">
        <v>151</v>
      </c>
      <c r="C39" t="s">
        <v>75</v>
      </c>
      <c r="F39" t="s">
        <v>151</v>
      </c>
      <c r="G39" t="s">
        <v>75</v>
      </c>
    </row>
    <row r="40" spans="1:10" x14ac:dyDescent="0.2">
      <c r="A40" s="17">
        <v>46011</v>
      </c>
      <c r="B40">
        <v>894</v>
      </c>
      <c r="C40" t="s">
        <v>153</v>
      </c>
      <c r="E40" s="17">
        <v>46011</v>
      </c>
      <c r="F40">
        <v>894</v>
      </c>
      <c r="G40" t="s">
        <v>153</v>
      </c>
    </row>
    <row r="41" spans="1:10" x14ac:dyDescent="0.2">
      <c r="A41" s="17">
        <v>46012</v>
      </c>
      <c r="B41">
        <v>1116</v>
      </c>
      <c r="E41" s="17">
        <v>46012</v>
      </c>
      <c r="F41">
        <v>1116</v>
      </c>
      <c r="G41" t="s">
        <v>154</v>
      </c>
    </row>
    <row r="42" spans="1:10" x14ac:dyDescent="0.2">
      <c r="A42" s="17">
        <v>46013</v>
      </c>
      <c r="B42">
        <v>1352</v>
      </c>
      <c r="E42" s="17">
        <v>46013</v>
      </c>
      <c r="F42">
        <v>1352</v>
      </c>
    </row>
    <row r="43" spans="1:10" x14ac:dyDescent="0.2">
      <c r="A43" s="17">
        <v>46014</v>
      </c>
      <c r="B43">
        <v>1120</v>
      </c>
      <c r="E43" s="17">
        <v>46014</v>
      </c>
      <c r="F43">
        <v>1120</v>
      </c>
    </row>
    <row r="44" spans="1:10" x14ac:dyDescent="0.2">
      <c r="A44" s="17">
        <v>46015</v>
      </c>
      <c r="B44">
        <v>918</v>
      </c>
      <c r="E44" s="17">
        <v>46015</v>
      </c>
      <c r="F44">
        <v>918</v>
      </c>
    </row>
    <row r="45" spans="1:10" x14ac:dyDescent="0.2">
      <c r="A45" s="17">
        <v>46016</v>
      </c>
      <c r="B45">
        <v>826</v>
      </c>
      <c r="E45" s="17">
        <v>46016</v>
      </c>
      <c r="F45">
        <v>826</v>
      </c>
    </row>
    <row r="46" spans="1:10" x14ac:dyDescent="0.2">
      <c r="A46" s="17">
        <v>46017</v>
      </c>
      <c r="B46">
        <v>1023</v>
      </c>
      <c r="C46" t="s">
        <v>167</v>
      </c>
      <c r="E46" s="17">
        <v>46017</v>
      </c>
      <c r="F46">
        <v>1023</v>
      </c>
      <c r="G46" t="s">
        <v>121</v>
      </c>
      <c r="J46" s="8"/>
    </row>
    <row r="47" spans="1:10" x14ac:dyDescent="0.2">
      <c r="B47" s="9">
        <f>SUM(B40:B46)</f>
        <v>7249</v>
      </c>
      <c r="C47" s="8">
        <v>7174</v>
      </c>
      <c r="F47" s="9">
        <f>SUM(F40:F46)</f>
        <v>7249</v>
      </c>
      <c r="G47" s="8">
        <v>6174</v>
      </c>
    </row>
    <row r="48" spans="1:10" x14ac:dyDescent="0.2">
      <c r="B48" t="s">
        <v>158</v>
      </c>
      <c r="C48" s="38"/>
      <c r="D48" s="38"/>
    </row>
    <row r="51" spans="1:7" x14ac:dyDescent="0.2">
      <c r="A51" t="s">
        <v>141</v>
      </c>
      <c r="C51" t="s">
        <v>149</v>
      </c>
      <c r="E51" t="s">
        <v>141</v>
      </c>
      <c r="G51" t="s">
        <v>149</v>
      </c>
    </row>
    <row r="52" spans="1:7" x14ac:dyDescent="0.2">
      <c r="A52" t="s">
        <v>156</v>
      </c>
      <c r="C52" s="30"/>
      <c r="E52" t="s">
        <v>156</v>
      </c>
      <c r="G52" s="30"/>
    </row>
    <row r="53" spans="1:7" x14ac:dyDescent="0.2">
      <c r="B53" t="s">
        <v>151</v>
      </c>
      <c r="C53" t="s">
        <v>148</v>
      </c>
      <c r="F53" t="s">
        <v>151</v>
      </c>
      <c r="G53" t="s">
        <v>148</v>
      </c>
    </row>
    <row r="54" spans="1:7" x14ac:dyDescent="0.2">
      <c r="A54" s="17">
        <v>46011</v>
      </c>
      <c r="B54">
        <v>1031</v>
      </c>
      <c r="E54" s="17">
        <v>46011</v>
      </c>
      <c r="F54">
        <v>1031</v>
      </c>
      <c r="G54" t="s">
        <v>153</v>
      </c>
    </row>
    <row r="55" spans="1:7" x14ac:dyDescent="0.2">
      <c r="A55" s="17">
        <v>46012</v>
      </c>
      <c r="B55">
        <v>865</v>
      </c>
      <c r="E55" s="17">
        <v>46012</v>
      </c>
      <c r="F55">
        <v>865</v>
      </c>
    </row>
    <row r="56" spans="1:7" x14ac:dyDescent="0.2">
      <c r="A56" s="17">
        <v>46013</v>
      </c>
      <c r="B56">
        <v>858</v>
      </c>
      <c r="E56" s="17">
        <v>46013</v>
      </c>
      <c r="F56">
        <v>858</v>
      </c>
    </row>
    <row r="57" spans="1:7" x14ac:dyDescent="0.2">
      <c r="A57" s="17">
        <v>46014</v>
      </c>
      <c r="B57">
        <v>615</v>
      </c>
      <c r="E57" s="17">
        <v>46014</v>
      </c>
      <c r="F57">
        <v>615</v>
      </c>
    </row>
    <row r="58" spans="1:7" x14ac:dyDescent="0.2">
      <c r="A58" s="17">
        <v>46015</v>
      </c>
      <c r="B58">
        <v>808</v>
      </c>
      <c r="E58" s="17">
        <v>46015</v>
      </c>
      <c r="F58">
        <v>808</v>
      </c>
    </row>
    <row r="59" spans="1:7" x14ac:dyDescent="0.2">
      <c r="A59" s="17">
        <v>46016</v>
      </c>
      <c r="B59">
        <v>726</v>
      </c>
      <c r="E59" s="17">
        <v>46016</v>
      </c>
      <c r="F59">
        <v>726</v>
      </c>
    </row>
    <row r="60" spans="1:7" x14ac:dyDescent="0.2">
      <c r="A60" s="17">
        <v>46017</v>
      </c>
      <c r="B60">
        <v>1141</v>
      </c>
      <c r="C60" t="s">
        <v>153</v>
      </c>
      <c r="D60" t="s">
        <v>81</v>
      </c>
      <c r="E60" s="17">
        <v>46017</v>
      </c>
      <c r="F60">
        <v>1141</v>
      </c>
      <c r="G60" t="s">
        <v>81</v>
      </c>
    </row>
    <row r="61" spans="1:7" x14ac:dyDescent="0.2">
      <c r="B61" s="9">
        <f>SUM(B54:B60)</f>
        <v>6044</v>
      </c>
      <c r="D61" s="8">
        <v>5969</v>
      </c>
      <c r="F61" s="9">
        <f>SUM(F54:F60)</f>
        <v>6044</v>
      </c>
      <c r="G61" s="8">
        <v>5969</v>
      </c>
    </row>
    <row r="62" spans="1:7" x14ac:dyDescent="0.2">
      <c r="B62" s="9"/>
      <c r="D62" s="8"/>
      <c r="F62" s="9"/>
      <c r="G62" s="8"/>
    </row>
    <row r="64" spans="1:7" x14ac:dyDescent="0.2">
      <c r="A64" t="s">
        <v>158</v>
      </c>
      <c r="B64" s="38"/>
      <c r="C64" s="38"/>
      <c r="E64" t="s">
        <v>158</v>
      </c>
      <c r="F64" s="38"/>
      <c r="G64" s="38"/>
    </row>
    <row r="66" spans="1:8" x14ac:dyDescent="0.2">
      <c r="A66" t="s">
        <v>141</v>
      </c>
      <c r="C66" s="30" t="s">
        <v>149</v>
      </c>
      <c r="E66" t="s">
        <v>141</v>
      </c>
      <c r="G66" s="30" t="s">
        <v>149</v>
      </c>
    </row>
    <row r="67" spans="1:8" x14ac:dyDescent="0.2">
      <c r="A67" t="s">
        <v>160</v>
      </c>
      <c r="C67" s="30"/>
      <c r="E67" t="s">
        <v>160</v>
      </c>
      <c r="G67" s="30"/>
    </row>
    <row r="68" spans="1:8" x14ac:dyDescent="0.2">
      <c r="A68" s="20">
        <v>46011</v>
      </c>
      <c r="B68" s="18">
        <v>939</v>
      </c>
      <c r="C68" s="18" t="s">
        <v>127</v>
      </c>
      <c r="D68" s="18"/>
      <c r="E68" s="20">
        <v>46011</v>
      </c>
      <c r="F68" s="18">
        <v>939</v>
      </c>
      <c r="G68" s="18" t="s">
        <v>127</v>
      </c>
      <c r="H68" s="18"/>
    </row>
    <row r="69" spans="1:8" x14ac:dyDescent="0.2">
      <c r="A69" s="20">
        <v>46012</v>
      </c>
      <c r="B69" s="18">
        <v>1091</v>
      </c>
      <c r="C69" s="18"/>
      <c r="D69" s="18"/>
      <c r="E69" s="20">
        <v>46012</v>
      </c>
      <c r="F69" s="18">
        <v>1091</v>
      </c>
      <c r="G69" s="18" t="s">
        <v>159</v>
      </c>
      <c r="H69" s="18"/>
    </row>
    <row r="70" spans="1:8" x14ac:dyDescent="0.2">
      <c r="A70" s="20">
        <v>46013</v>
      </c>
      <c r="B70" s="18">
        <v>903</v>
      </c>
      <c r="C70" s="18"/>
      <c r="D70" s="18"/>
      <c r="E70" s="20">
        <v>46013</v>
      </c>
      <c r="F70" s="18">
        <v>903</v>
      </c>
      <c r="G70" s="18" t="s">
        <v>174</v>
      </c>
      <c r="H70" s="18"/>
    </row>
    <row r="71" spans="1:8" x14ac:dyDescent="0.2">
      <c r="A71" s="20">
        <v>46015</v>
      </c>
      <c r="B71" s="18">
        <v>742</v>
      </c>
      <c r="D71" s="18"/>
      <c r="E71" s="20">
        <v>46015</v>
      </c>
      <c r="F71" s="18">
        <v>742</v>
      </c>
      <c r="H71" s="18"/>
    </row>
    <row r="72" spans="1:8" x14ac:dyDescent="0.2">
      <c r="A72" s="20">
        <v>46016</v>
      </c>
      <c r="B72" s="18">
        <v>866</v>
      </c>
      <c r="D72" s="18"/>
      <c r="E72" s="20">
        <v>46016</v>
      </c>
      <c r="F72" s="18">
        <v>866</v>
      </c>
      <c r="H72" s="18"/>
    </row>
    <row r="73" spans="1:8" x14ac:dyDescent="0.2">
      <c r="A73" s="18"/>
      <c r="B73" s="32">
        <f>SUM(B68:B72)</f>
        <v>4541</v>
      </c>
      <c r="C73" s="18"/>
      <c r="D73" s="18"/>
      <c r="E73" s="18"/>
      <c r="F73" s="32">
        <f>SUM(F68:F72)</f>
        <v>4541</v>
      </c>
      <c r="G73" s="18"/>
      <c r="H73" s="18"/>
    </row>
    <row r="74" spans="1:8" x14ac:dyDescent="0.2">
      <c r="B74" t="s">
        <v>158</v>
      </c>
      <c r="C74" s="38"/>
      <c r="D74" s="38"/>
      <c r="G74" s="38"/>
      <c r="H74" s="39">
        <v>3861</v>
      </c>
    </row>
    <row r="75" spans="1:8" x14ac:dyDescent="0.2">
      <c r="H75" s="39"/>
    </row>
    <row r="77" spans="1:8" x14ac:dyDescent="0.2">
      <c r="A77" t="s">
        <v>141</v>
      </c>
      <c r="C77" s="30" t="s">
        <v>149</v>
      </c>
      <c r="E77" t="s">
        <v>141</v>
      </c>
      <c r="G77" s="30" t="s">
        <v>149</v>
      </c>
    </row>
    <row r="78" spans="1:8" x14ac:dyDescent="0.2">
      <c r="A78" t="s">
        <v>164</v>
      </c>
      <c r="C78" s="30"/>
      <c r="E78" t="s">
        <v>164</v>
      </c>
      <c r="G78" s="30"/>
    </row>
    <row r="79" spans="1:8" x14ac:dyDescent="0.2">
      <c r="A79" s="17">
        <v>46011</v>
      </c>
      <c r="B79">
        <v>964</v>
      </c>
      <c r="C79" t="s">
        <v>153</v>
      </c>
      <c r="E79" s="17">
        <v>46011</v>
      </c>
      <c r="F79">
        <v>964</v>
      </c>
      <c r="G79" t="s">
        <v>153</v>
      </c>
    </row>
    <row r="80" spans="1:8" x14ac:dyDescent="0.2">
      <c r="A80" s="17">
        <v>46012</v>
      </c>
      <c r="B80">
        <v>959</v>
      </c>
      <c r="E80" s="17">
        <v>46012</v>
      </c>
      <c r="F80">
        <v>959</v>
      </c>
    </row>
    <row r="81" spans="1:8" x14ac:dyDescent="0.2">
      <c r="A81" s="17">
        <v>46013</v>
      </c>
      <c r="B81">
        <v>787</v>
      </c>
      <c r="E81" s="17">
        <v>46013</v>
      </c>
      <c r="F81">
        <v>787</v>
      </c>
      <c r="H81" t="s">
        <v>163</v>
      </c>
    </row>
    <row r="82" spans="1:8" x14ac:dyDescent="0.2">
      <c r="A82" s="17">
        <v>46014</v>
      </c>
      <c r="B82">
        <v>751</v>
      </c>
      <c r="E82" s="17">
        <v>46014</v>
      </c>
      <c r="F82">
        <v>751</v>
      </c>
      <c r="H82" t="s">
        <v>161</v>
      </c>
    </row>
    <row r="83" spans="1:8" x14ac:dyDescent="0.2">
      <c r="A83" s="17">
        <v>46015</v>
      </c>
      <c r="B83">
        <v>583</v>
      </c>
      <c r="E83" s="17">
        <v>46015</v>
      </c>
      <c r="F83">
        <v>583</v>
      </c>
      <c r="H83" t="s">
        <v>162</v>
      </c>
    </row>
    <row r="84" spans="1:8" x14ac:dyDescent="0.2">
      <c r="A84" s="17">
        <v>46017</v>
      </c>
      <c r="B84">
        <v>675</v>
      </c>
      <c r="E84" s="17">
        <v>46017</v>
      </c>
      <c r="F84">
        <v>675</v>
      </c>
      <c r="H84" t="s">
        <v>81</v>
      </c>
    </row>
    <row r="85" spans="1:8" x14ac:dyDescent="0.2">
      <c r="B85" s="9">
        <f>SUM(B79:B84)</f>
        <v>4719</v>
      </c>
      <c r="F85" s="9">
        <f>SUM(F79:F84)</f>
        <v>4719</v>
      </c>
      <c r="H85" s="36">
        <v>3719</v>
      </c>
    </row>
    <row r="86" spans="1:8" x14ac:dyDescent="0.2">
      <c r="B86" t="s">
        <v>158</v>
      </c>
      <c r="C86" s="38"/>
      <c r="D86" s="38"/>
    </row>
    <row r="89" spans="1:8" x14ac:dyDescent="0.2">
      <c r="A89" t="s">
        <v>141</v>
      </c>
      <c r="C89" s="30" t="s">
        <v>149</v>
      </c>
      <c r="E89" t="s">
        <v>141</v>
      </c>
      <c r="G89" s="30" t="s">
        <v>149</v>
      </c>
    </row>
    <row r="90" spans="1:8" x14ac:dyDescent="0.2">
      <c r="A90" t="s">
        <v>165</v>
      </c>
      <c r="C90" s="30"/>
      <c r="E90" t="s">
        <v>165</v>
      </c>
      <c r="G90" s="30"/>
    </row>
    <row r="91" spans="1:8" x14ac:dyDescent="0.2">
      <c r="A91" s="17">
        <v>46011</v>
      </c>
      <c r="B91">
        <v>850</v>
      </c>
      <c r="E91" s="17">
        <v>46011</v>
      </c>
      <c r="F91">
        <v>850</v>
      </c>
    </row>
    <row r="92" spans="1:8" x14ac:dyDescent="0.2">
      <c r="A92" s="17">
        <v>46014</v>
      </c>
      <c r="B92">
        <v>789</v>
      </c>
      <c r="E92" s="17">
        <v>46014</v>
      </c>
      <c r="F92">
        <v>789</v>
      </c>
    </row>
    <row r="93" spans="1:8" x14ac:dyDescent="0.2">
      <c r="A93" s="17">
        <v>46015</v>
      </c>
      <c r="B93">
        <v>698</v>
      </c>
      <c r="E93" s="17">
        <v>46015</v>
      </c>
      <c r="F93">
        <v>698</v>
      </c>
    </row>
    <row r="94" spans="1:8" x14ac:dyDescent="0.2">
      <c r="A94" s="17">
        <v>46016</v>
      </c>
      <c r="B94">
        <v>603</v>
      </c>
      <c r="E94" s="17">
        <v>46016</v>
      </c>
      <c r="F94">
        <v>603</v>
      </c>
    </row>
    <row r="95" spans="1:8" x14ac:dyDescent="0.2">
      <c r="A95" s="17">
        <v>46017</v>
      </c>
      <c r="B95">
        <v>704</v>
      </c>
      <c r="E95" s="17">
        <v>46017</v>
      </c>
      <c r="F95">
        <v>704</v>
      </c>
    </row>
    <row r="96" spans="1:8" x14ac:dyDescent="0.2">
      <c r="A96" s="17"/>
      <c r="B96" s="9">
        <f>SUM(B91:B95)</f>
        <v>3644</v>
      </c>
      <c r="E96" s="17"/>
      <c r="F96" s="9">
        <f>SUM(F91:F95)</f>
        <v>3644</v>
      </c>
    </row>
    <row r="97" spans="1:11" x14ac:dyDescent="0.2">
      <c r="B97" t="s">
        <v>158</v>
      </c>
      <c r="C97" s="38"/>
      <c r="D97" s="38"/>
      <c r="F97" t="s">
        <v>158</v>
      </c>
      <c r="G97" s="38"/>
      <c r="H97" s="38"/>
    </row>
    <row r="103" spans="1:11" x14ac:dyDescent="0.2">
      <c r="A103" t="s">
        <v>141</v>
      </c>
      <c r="C103" s="30" t="s">
        <v>149</v>
      </c>
      <c r="E103" t="s">
        <v>141</v>
      </c>
      <c r="G103" s="30" t="s">
        <v>149</v>
      </c>
    </row>
    <row r="104" spans="1:11" x14ac:dyDescent="0.2">
      <c r="A104" t="s">
        <v>169</v>
      </c>
      <c r="C104" s="30"/>
      <c r="E104" t="s">
        <v>169</v>
      </c>
      <c r="G104" s="30"/>
      <c r="K104" s="17"/>
    </row>
    <row r="105" spans="1:11" x14ac:dyDescent="0.2">
      <c r="A105" s="17">
        <v>46011</v>
      </c>
      <c r="B105">
        <v>923</v>
      </c>
      <c r="E105" s="17">
        <v>46011</v>
      </c>
      <c r="F105">
        <v>923</v>
      </c>
      <c r="K105" s="17"/>
    </row>
    <row r="106" spans="1:11" x14ac:dyDescent="0.2">
      <c r="A106" s="17">
        <v>46012</v>
      </c>
      <c r="B106">
        <v>1139</v>
      </c>
      <c r="E106" s="17">
        <v>46012</v>
      </c>
      <c r="F106">
        <v>1139</v>
      </c>
      <c r="K106" s="17"/>
    </row>
    <row r="107" spans="1:11" x14ac:dyDescent="0.2">
      <c r="A107" s="17">
        <v>46013</v>
      </c>
      <c r="B107">
        <v>860</v>
      </c>
      <c r="E107" s="17">
        <v>46013</v>
      </c>
      <c r="F107">
        <v>860</v>
      </c>
      <c r="K107" s="17"/>
    </row>
    <row r="108" spans="1:11" x14ac:dyDescent="0.2">
      <c r="A108" s="17">
        <v>46014</v>
      </c>
      <c r="B108">
        <v>862</v>
      </c>
      <c r="E108" s="17">
        <v>46014</v>
      </c>
      <c r="F108">
        <v>862</v>
      </c>
      <c r="K108" s="17"/>
    </row>
    <row r="109" spans="1:11" x14ac:dyDescent="0.2">
      <c r="A109" s="17">
        <v>46015</v>
      </c>
      <c r="B109">
        <v>529</v>
      </c>
      <c r="E109" s="17">
        <v>46015</v>
      </c>
      <c r="F109">
        <v>529</v>
      </c>
      <c r="K109" s="17"/>
    </row>
    <row r="110" spans="1:11" x14ac:dyDescent="0.2">
      <c r="A110" s="17">
        <v>46017</v>
      </c>
      <c r="B110">
        <v>923</v>
      </c>
      <c r="C110" t="s">
        <v>153</v>
      </c>
      <c r="D110" t="s">
        <v>81</v>
      </c>
      <c r="E110" s="17">
        <v>46017</v>
      </c>
      <c r="F110">
        <v>923</v>
      </c>
      <c r="G110" t="s">
        <v>153</v>
      </c>
      <c r="H110" t="s">
        <v>81</v>
      </c>
    </row>
    <row r="111" spans="1:11" x14ac:dyDescent="0.2">
      <c r="B111" s="9">
        <f>SUM(B105:B110)</f>
        <v>5236</v>
      </c>
      <c r="D111" s="9">
        <v>5161</v>
      </c>
      <c r="F111" s="9">
        <f>SUM(F105:F110)</f>
        <v>5236</v>
      </c>
      <c r="H111">
        <v>5161</v>
      </c>
    </row>
    <row r="113" spans="1:8" x14ac:dyDescent="0.2">
      <c r="B113" t="s">
        <v>158</v>
      </c>
      <c r="C113" s="38"/>
      <c r="D113" s="38"/>
      <c r="E113" t="s">
        <v>158</v>
      </c>
      <c r="F113" s="38"/>
      <c r="G113" s="38"/>
    </row>
    <row r="116" spans="1:8" x14ac:dyDescent="0.2">
      <c r="A116" t="s">
        <v>172</v>
      </c>
      <c r="C116" t="s">
        <v>141</v>
      </c>
      <c r="E116" t="s">
        <v>141</v>
      </c>
      <c r="G116" s="30" t="s">
        <v>170</v>
      </c>
    </row>
    <row r="117" spans="1:8" x14ac:dyDescent="0.2">
      <c r="A117" s="17">
        <v>46011</v>
      </c>
      <c r="B117">
        <v>190</v>
      </c>
      <c r="C117">
        <v>450</v>
      </c>
      <c r="E117" s="17">
        <v>46011</v>
      </c>
      <c r="F117">
        <v>190</v>
      </c>
      <c r="G117">
        <v>450</v>
      </c>
    </row>
    <row r="118" spans="1:8" x14ac:dyDescent="0.2">
      <c r="A118" s="17">
        <v>46012</v>
      </c>
      <c r="B118">
        <v>174</v>
      </c>
      <c r="C118">
        <v>450</v>
      </c>
      <c r="E118" s="17">
        <v>46012</v>
      </c>
      <c r="F118">
        <v>174</v>
      </c>
      <c r="G118">
        <v>450</v>
      </c>
    </row>
    <row r="119" spans="1:8" x14ac:dyDescent="0.2">
      <c r="A119" s="17">
        <v>46013</v>
      </c>
      <c r="B119">
        <v>128</v>
      </c>
      <c r="C119">
        <v>450</v>
      </c>
      <c r="E119" s="17">
        <v>46013</v>
      </c>
      <c r="F119">
        <v>128</v>
      </c>
      <c r="G119">
        <v>450</v>
      </c>
    </row>
    <row r="120" spans="1:8" x14ac:dyDescent="0.2">
      <c r="A120" s="17">
        <v>46014</v>
      </c>
      <c r="B120">
        <v>174</v>
      </c>
      <c r="C120">
        <v>450</v>
      </c>
      <c r="E120" s="17">
        <v>46014</v>
      </c>
      <c r="F120">
        <v>174</v>
      </c>
      <c r="G120">
        <v>450</v>
      </c>
    </row>
    <row r="121" spans="1:8" x14ac:dyDescent="0.2">
      <c r="A121" s="17">
        <v>46015</v>
      </c>
      <c r="B121">
        <v>117</v>
      </c>
      <c r="C121">
        <v>450</v>
      </c>
      <c r="E121" s="17">
        <v>46015</v>
      </c>
      <c r="F121">
        <v>117</v>
      </c>
      <c r="G121">
        <v>450</v>
      </c>
    </row>
    <row r="122" spans="1:8" x14ac:dyDescent="0.2">
      <c r="A122" s="17">
        <v>46016</v>
      </c>
      <c r="B122">
        <v>151</v>
      </c>
      <c r="C122">
        <v>450</v>
      </c>
      <c r="E122" s="17">
        <v>46016</v>
      </c>
      <c r="F122">
        <v>151</v>
      </c>
      <c r="G122">
        <v>450</v>
      </c>
    </row>
    <row r="123" spans="1:8" x14ac:dyDescent="0.2">
      <c r="B123">
        <v>162</v>
      </c>
      <c r="C123">
        <v>450</v>
      </c>
      <c r="D123" t="s">
        <v>171</v>
      </c>
      <c r="F123">
        <v>162</v>
      </c>
      <c r="G123">
        <v>450</v>
      </c>
      <c r="H123" t="s">
        <v>171</v>
      </c>
    </row>
    <row r="124" spans="1:8" x14ac:dyDescent="0.2">
      <c r="B124" s="9">
        <f>SUM(B117:B123)</f>
        <v>1096</v>
      </c>
      <c r="C124" s="12">
        <f>SUM(C117:C123)</f>
        <v>3150</v>
      </c>
      <c r="D124" s="40">
        <f>SUM(B124:C124)</f>
        <v>4246</v>
      </c>
      <c r="F124" s="9">
        <f>SUM(F117:F123)</f>
        <v>1096</v>
      </c>
      <c r="G124" s="12">
        <f>SUM(G117:G123)</f>
        <v>3150</v>
      </c>
      <c r="H124" s="40">
        <f>SUM(F124:G124)</f>
        <v>4246</v>
      </c>
    </row>
    <row r="126" spans="1:8" x14ac:dyDescent="0.2">
      <c r="B126" t="s">
        <v>158</v>
      </c>
      <c r="C126" s="38"/>
      <c r="D126" s="38"/>
      <c r="F126" s="38"/>
      <c r="G126" s="38"/>
    </row>
    <row r="129" spans="1:7" x14ac:dyDescent="0.2">
      <c r="A129" t="s">
        <v>173</v>
      </c>
      <c r="C129" t="s">
        <v>141</v>
      </c>
      <c r="E129" t="s">
        <v>141</v>
      </c>
      <c r="G129" s="30" t="s">
        <v>170</v>
      </c>
    </row>
    <row r="130" spans="1:7" x14ac:dyDescent="0.2">
      <c r="A130" s="17">
        <v>46011</v>
      </c>
      <c r="B130">
        <v>500</v>
      </c>
      <c r="C130" t="s">
        <v>153</v>
      </c>
      <c r="E130" s="17">
        <v>46011</v>
      </c>
      <c r="F130">
        <v>500</v>
      </c>
      <c r="G130" t="s">
        <v>153</v>
      </c>
    </row>
    <row r="131" spans="1:7" x14ac:dyDescent="0.2">
      <c r="A131" s="17">
        <v>46012</v>
      </c>
      <c r="B131">
        <v>500</v>
      </c>
      <c r="E131" s="17">
        <v>46012</v>
      </c>
      <c r="F131">
        <v>500</v>
      </c>
    </row>
    <row r="132" spans="1:7" x14ac:dyDescent="0.2">
      <c r="A132" s="17">
        <v>46014</v>
      </c>
      <c r="B132">
        <v>500</v>
      </c>
      <c r="E132" s="17">
        <v>46014</v>
      </c>
      <c r="F132">
        <v>500</v>
      </c>
    </row>
    <row r="133" spans="1:7" x14ac:dyDescent="0.2">
      <c r="A133" s="17">
        <v>46015</v>
      </c>
      <c r="B133">
        <v>500</v>
      </c>
      <c r="E133" s="17">
        <v>46015</v>
      </c>
      <c r="F133">
        <v>500</v>
      </c>
    </row>
    <row r="134" spans="1:7" x14ac:dyDescent="0.2">
      <c r="A134" s="17">
        <v>46016</v>
      </c>
      <c r="B134">
        <v>500</v>
      </c>
      <c r="E134" s="17">
        <v>46016</v>
      </c>
      <c r="F134">
        <v>500</v>
      </c>
    </row>
    <row r="135" spans="1:7" x14ac:dyDescent="0.2">
      <c r="A135" s="17">
        <v>46017</v>
      </c>
      <c r="B135">
        <v>500</v>
      </c>
      <c r="C135" t="s">
        <v>166</v>
      </c>
      <c r="E135" s="17">
        <v>46017</v>
      </c>
      <c r="F135">
        <v>500</v>
      </c>
      <c r="G135" t="s">
        <v>166</v>
      </c>
    </row>
    <row r="136" spans="1:7" x14ac:dyDescent="0.2">
      <c r="B136" s="9">
        <f>SUM(B130:B135)</f>
        <v>3000</v>
      </c>
      <c r="C136" s="9">
        <v>2925</v>
      </c>
      <c r="F136" s="9">
        <f>SUM(F130:F135)</f>
        <v>3000</v>
      </c>
      <c r="G136" s="9">
        <v>2925</v>
      </c>
    </row>
    <row r="138" spans="1:7" x14ac:dyDescent="0.2">
      <c r="B138" t="s">
        <v>158</v>
      </c>
      <c r="C138" s="38"/>
      <c r="D138" s="38"/>
    </row>
    <row r="142" spans="1:7" x14ac:dyDescent="0.2">
      <c r="A142" t="s">
        <v>179</v>
      </c>
      <c r="C142" t="s">
        <v>141</v>
      </c>
      <c r="E142" t="s">
        <v>141</v>
      </c>
      <c r="G142" s="30" t="s">
        <v>170</v>
      </c>
    </row>
    <row r="143" spans="1:7" x14ac:dyDescent="0.2">
      <c r="A143" s="17">
        <v>46012</v>
      </c>
      <c r="B143">
        <v>524</v>
      </c>
      <c r="E143" s="17">
        <v>46012</v>
      </c>
      <c r="F143">
        <v>524</v>
      </c>
    </row>
    <row r="144" spans="1:7" x14ac:dyDescent="0.2">
      <c r="A144" s="17">
        <v>46013</v>
      </c>
      <c r="B144">
        <v>457</v>
      </c>
      <c r="E144" s="17">
        <v>46013</v>
      </c>
      <c r="F144">
        <v>457</v>
      </c>
    </row>
    <row r="145" spans="1:7" x14ac:dyDescent="0.2">
      <c r="A145" s="17">
        <v>46014</v>
      </c>
      <c r="B145">
        <v>503</v>
      </c>
      <c r="E145" s="17">
        <v>46014</v>
      </c>
      <c r="F145">
        <v>503</v>
      </c>
    </row>
    <row r="146" spans="1:7" x14ac:dyDescent="0.2">
      <c r="A146" s="17">
        <v>46015</v>
      </c>
      <c r="B146">
        <v>465</v>
      </c>
      <c r="E146" s="17">
        <v>46015</v>
      </c>
      <c r="F146">
        <v>465</v>
      </c>
    </row>
    <row r="147" spans="1:7" x14ac:dyDescent="0.2">
      <c r="A147" s="17">
        <v>46016</v>
      </c>
      <c r="B147">
        <v>469</v>
      </c>
      <c r="C147" t="s">
        <v>177</v>
      </c>
      <c r="E147" s="17">
        <v>46016</v>
      </c>
      <c r="F147">
        <v>469</v>
      </c>
      <c r="G147" t="s">
        <v>177</v>
      </c>
    </row>
    <row r="148" spans="1:7" x14ac:dyDescent="0.2">
      <c r="A148" s="17">
        <v>46017</v>
      </c>
      <c r="B148">
        <v>445</v>
      </c>
      <c r="C148" t="s">
        <v>178</v>
      </c>
      <c r="E148" s="17">
        <v>46017</v>
      </c>
      <c r="F148">
        <v>445</v>
      </c>
      <c r="G148" t="s">
        <v>178</v>
      </c>
    </row>
    <row r="149" spans="1:7" x14ac:dyDescent="0.2">
      <c r="B149" s="9">
        <f>SUM(B143:B148)</f>
        <v>2863</v>
      </c>
      <c r="C149" s="9">
        <v>2263</v>
      </c>
      <c r="F149" s="9">
        <f>SUM(F143:F148)</f>
        <v>2863</v>
      </c>
      <c r="G149" s="9">
        <v>2263</v>
      </c>
    </row>
    <row r="152" spans="1:7" x14ac:dyDescent="0.2">
      <c r="A152" t="s">
        <v>181</v>
      </c>
      <c r="C152" t="s">
        <v>141</v>
      </c>
      <c r="E152" t="s">
        <v>141</v>
      </c>
      <c r="G152" s="30" t="s">
        <v>170</v>
      </c>
    </row>
    <row r="153" spans="1:7" x14ac:dyDescent="0.2">
      <c r="A153" s="17">
        <v>46011</v>
      </c>
      <c r="B153">
        <v>565</v>
      </c>
      <c r="E153" s="17">
        <v>46011</v>
      </c>
      <c r="F153">
        <v>565</v>
      </c>
    </row>
    <row r="154" spans="1:7" x14ac:dyDescent="0.2">
      <c r="A154" s="17">
        <v>46012</v>
      </c>
      <c r="B154">
        <v>636</v>
      </c>
      <c r="E154" s="17">
        <v>46012</v>
      </c>
      <c r="F154">
        <v>636</v>
      </c>
    </row>
    <row r="155" spans="1:7" x14ac:dyDescent="0.2">
      <c r="A155" s="17">
        <v>46013</v>
      </c>
      <c r="B155">
        <v>534</v>
      </c>
      <c r="E155" s="17">
        <v>46013</v>
      </c>
      <c r="F155">
        <v>534</v>
      </c>
    </row>
    <row r="156" spans="1:7" x14ac:dyDescent="0.2">
      <c r="A156" s="17">
        <v>46014</v>
      </c>
      <c r="B156">
        <v>490</v>
      </c>
      <c r="E156" s="17">
        <v>46014</v>
      </c>
      <c r="F156">
        <v>490</v>
      </c>
    </row>
    <row r="157" spans="1:7" x14ac:dyDescent="0.2">
      <c r="A157" s="17">
        <v>46015</v>
      </c>
      <c r="B157">
        <v>453</v>
      </c>
      <c r="C157" t="s">
        <v>180</v>
      </c>
      <c r="E157" s="17">
        <v>46015</v>
      </c>
      <c r="F157">
        <v>453</v>
      </c>
      <c r="G157" t="s">
        <v>180</v>
      </c>
    </row>
    <row r="158" spans="1:7" x14ac:dyDescent="0.2">
      <c r="B158" s="9">
        <f>SUM(B153:B157)</f>
        <v>2678</v>
      </c>
      <c r="C158" s="9">
        <v>2078</v>
      </c>
      <c r="F158" s="9">
        <f>SUM(F153:F157)</f>
        <v>2678</v>
      </c>
      <c r="G158" s="9">
        <v>2078</v>
      </c>
    </row>
    <row r="161" spans="1:7" x14ac:dyDescent="0.2">
      <c r="A161" t="s">
        <v>183</v>
      </c>
      <c r="C161" t="s">
        <v>184</v>
      </c>
      <c r="E161" t="s">
        <v>183</v>
      </c>
      <c r="G161" t="s">
        <v>184</v>
      </c>
    </row>
    <row r="162" spans="1:7" x14ac:dyDescent="0.2">
      <c r="A162" s="17">
        <v>46011</v>
      </c>
      <c r="B162">
        <v>344</v>
      </c>
      <c r="E162" s="17">
        <v>46011</v>
      </c>
      <c r="F162">
        <v>344</v>
      </c>
    </row>
    <row r="163" spans="1:7" x14ac:dyDescent="0.2">
      <c r="A163" s="17">
        <v>46012</v>
      </c>
      <c r="B163">
        <v>315</v>
      </c>
      <c r="E163" s="17">
        <v>46012</v>
      </c>
      <c r="F163">
        <v>315</v>
      </c>
    </row>
    <row r="164" spans="1:7" x14ac:dyDescent="0.2">
      <c r="A164" s="17">
        <v>46013</v>
      </c>
      <c r="B164">
        <v>375</v>
      </c>
      <c r="E164" s="17">
        <v>46013</v>
      </c>
      <c r="F164">
        <v>375</v>
      </c>
    </row>
    <row r="165" spans="1:7" x14ac:dyDescent="0.2">
      <c r="A165" s="17">
        <v>46014</v>
      </c>
      <c r="B165">
        <v>294</v>
      </c>
      <c r="E165" s="17">
        <v>46014</v>
      </c>
      <c r="F165">
        <v>294</v>
      </c>
    </row>
    <row r="166" spans="1:7" x14ac:dyDescent="0.2">
      <c r="A166" s="17">
        <v>46015</v>
      </c>
      <c r="B166">
        <v>270</v>
      </c>
      <c r="C166" t="s">
        <v>182</v>
      </c>
      <c r="E166" s="17">
        <v>46015</v>
      </c>
      <c r="F166">
        <v>270</v>
      </c>
      <c r="G166" t="s">
        <v>182</v>
      </c>
    </row>
    <row r="167" spans="1:7" x14ac:dyDescent="0.2">
      <c r="A167" s="17">
        <v>46017</v>
      </c>
      <c r="B167">
        <v>370</v>
      </c>
      <c r="C167" t="s">
        <v>81</v>
      </c>
      <c r="E167" s="17">
        <v>46017</v>
      </c>
      <c r="F167">
        <v>370</v>
      </c>
      <c r="G167" t="s">
        <v>81</v>
      </c>
    </row>
    <row r="168" spans="1:7" x14ac:dyDescent="0.2">
      <c r="B168" s="9">
        <f>SUM(B162:B167)</f>
        <v>1968</v>
      </c>
      <c r="C168" s="9">
        <v>1768</v>
      </c>
      <c r="F168" s="9">
        <f>SUM(F162:F167)</f>
        <v>1968</v>
      </c>
      <c r="G168" s="9">
        <v>1768</v>
      </c>
    </row>
    <row r="171" spans="1:7" x14ac:dyDescent="0.2">
      <c r="A171" t="s">
        <v>176</v>
      </c>
      <c r="C171" t="s">
        <v>141</v>
      </c>
      <c r="E171" t="s">
        <v>141</v>
      </c>
      <c r="G171" s="30" t="s">
        <v>170</v>
      </c>
    </row>
    <row r="172" spans="1:7" x14ac:dyDescent="0.2">
      <c r="A172" s="17">
        <v>46011</v>
      </c>
      <c r="B172">
        <v>473</v>
      </c>
      <c r="E172" s="17">
        <v>46011</v>
      </c>
      <c r="F172">
        <v>473</v>
      </c>
    </row>
    <row r="173" spans="1:7" x14ac:dyDescent="0.2">
      <c r="A173" s="17">
        <v>46013</v>
      </c>
      <c r="B173">
        <v>483</v>
      </c>
      <c r="E173" s="17">
        <v>46013</v>
      </c>
      <c r="F173">
        <v>483</v>
      </c>
    </row>
    <row r="174" spans="1:7" x14ac:dyDescent="0.2">
      <c r="A174" s="17">
        <v>46014</v>
      </c>
      <c r="B174">
        <v>529</v>
      </c>
      <c r="C174" t="s">
        <v>175</v>
      </c>
      <c r="E174" s="17">
        <v>46014</v>
      </c>
      <c r="F174">
        <v>529</v>
      </c>
      <c r="G174" t="s">
        <v>175</v>
      </c>
    </row>
    <row r="175" spans="1:7" x14ac:dyDescent="0.2">
      <c r="A175" s="17">
        <v>46015</v>
      </c>
      <c r="B175">
        <v>419</v>
      </c>
      <c r="E175" s="17">
        <v>46015</v>
      </c>
      <c r="F175">
        <v>419</v>
      </c>
    </row>
    <row r="176" spans="1:7" x14ac:dyDescent="0.2">
      <c r="B176" s="9">
        <f>SUM(B172:B175)</f>
        <v>1904</v>
      </c>
      <c r="C176" s="9">
        <v>1404</v>
      </c>
      <c r="F176" s="9">
        <f>SUM(F172:F175)</f>
        <v>1904</v>
      </c>
      <c r="G176" s="9">
        <v>1404</v>
      </c>
    </row>
  </sheetData>
  <printOptions horizontalCentered="1"/>
  <pageMargins left="0.25" right="0.25" top="0.25" bottom="0.25" header="0.25" footer="0.25"/>
  <pageSetup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2D24-EB00-464D-8EFF-920444AB5090}">
  <dimension ref="A1:O34"/>
  <sheetViews>
    <sheetView topLeftCell="D13" zoomScale="149" zoomScaleNormal="118" workbookViewId="0">
      <selection activeCell="L26" sqref="L26"/>
    </sheetView>
  </sheetViews>
  <sheetFormatPr baseColWidth="10" defaultRowHeight="16" x14ac:dyDescent="0.2"/>
  <sheetData>
    <row r="1" spans="1:14" x14ac:dyDescent="0.2">
      <c r="A1" t="s">
        <v>42</v>
      </c>
    </row>
    <row r="2" spans="1:14" ht="34" x14ac:dyDescent="0.2">
      <c r="A2" s="1" t="s">
        <v>0</v>
      </c>
      <c r="B2" s="1" t="s">
        <v>1</v>
      </c>
      <c r="C2" s="2" t="s">
        <v>2</v>
      </c>
      <c r="D2" s="1" t="s">
        <v>3</v>
      </c>
      <c r="E2" s="2" t="s">
        <v>2</v>
      </c>
      <c r="F2" s="1" t="s">
        <v>4</v>
      </c>
      <c r="G2" s="3" t="s">
        <v>5</v>
      </c>
      <c r="H2" t="s">
        <v>37</v>
      </c>
      <c r="I2" t="s">
        <v>22</v>
      </c>
      <c r="J2" t="s">
        <v>23</v>
      </c>
      <c r="K2" s="12" t="s">
        <v>14</v>
      </c>
      <c r="L2" t="s">
        <v>24</v>
      </c>
    </row>
    <row r="3" spans="1:14" x14ac:dyDescent="0.2">
      <c r="A3" s="4">
        <v>45992</v>
      </c>
      <c r="B3" s="5"/>
      <c r="C3" s="6">
        <f>(B3*0.9*0.1)</f>
        <v>0</v>
      </c>
      <c r="D3" s="5"/>
      <c r="E3" s="6"/>
      <c r="F3" s="5"/>
      <c r="G3" s="7">
        <f>(C3+E3+F3)</f>
        <v>0</v>
      </c>
      <c r="H3">
        <v>200</v>
      </c>
      <c r="I3" t="s">
        <v>43</v>
      </c>
      <c r="J3" s="12">
        <v>248</v>
      </c>
      <c r="K3" s="12"/>
      <c r="L3" s="17"/>
    </row>
    <row r="4" spans="1:14" x14ac:dyDescent="0.2">
      <c r="A4" s="4">
        <v>45993</v>
      </c>
      <c r="B4" s="5"/>
      <c r="C4" s="6">
        <f t="shared" ref="C4:C33" si="0">(B4*0.9*0.1)</f>
        <v>0</v>
      </c>
      <c r="D4" s="5"/>
      <c r="E4" s="6"/>
      <c r="F4" s="5"/>
      <c r="G4" s="7">
        <f t="shared" ref="G4:G33" si="1">(C4+E4+F4)</f>
        <v>0</v>
      </c>
      <c r="I4" t="s">
        <v>44</v>
      </c>
      <c r="J4">
        <v>378</v>
      </c>
    </row>
    <row r="5" spans="1:14" x14ac:dyDescent="0.2">
      <c r="A5" s="4">
        <v>45994</v>
      </c>
      <c r="B5" s="5">
        <v>1030</v>
      </c>
      <c r="C5" s="6">
        <f t="shared" si="0"/>
        <v>92.7</v>
      </c>
      <c r="D5" s="5"/>
      <c r="E5" s="6"/>
      <c r="F5" s="5">
        <v>200</v>
      </c>
      <c r="G5" s="7">
        <f t="shared" si="1"/>
        <v>292.7</v>
      </c>
      <c r="H5">
        <v>200</v>
      </c>
      <c r="I5" t="s">
        <v>59</v>
      </c>
      <c r="J5">
        <v>826</v>
      </c>
    </row>
    <row r="6" spans="1:14" x14ac:dyDescent="0.2">
      <c r="A6" s="4">
        <v>45995</v>
      </c>
      <c r="B6" s="5">
        <v>245</v>
      </c>
      <c r="C6" s="6">
        <f t="shared" si="0"/>
        <v>22.05</v>
      </c>
      <c r="D6" s="5"/>
      <c r="E6" s="6"/>
      <c r="F6" s="5">
        <v>200</v>
      </c>
      <c r="G6" s="7">
        <f t="shared" si="1"/>
        <v>222.05</v>
      </c>
      <c r="H6">
        <v>100</v>
      </c>
    </row>
    <row r="7" spans="1:14" x14ac:dyDescent="0.2">
      <c r="A7" s="10">
        <v>45996</v>
      </c>
      <c r="B7" s="11">
        <v>570</v>
      </c>
      <c r="C7" s="11">
        <f t="shared" si="0"/>
        <v>51.300000000000004</v>
      </c>
      <c r="D7" s="11">
        <v>349</v>
      </c>
      <c r="E7" s="11">
        <v>60</v>
      </c>
      <c r="F7" s="11">
        <v>200</v>
      </c>
      <c r="G7" s="11">
        <f t="shared" si="1"/>
        <v>311.3</v>
      </c>
      <c r="J7">
        <f>SUM(J3:J6)</f>
        <v>1452</v>
      </c>
      <c r="K7">
        <v>500</v>
      </c>
      <c r="L7">
        <v>952</v>
      </c>
    </row>
    <row r="8" spans="1:14" x14ac:dyDescent="0.2">
      <c r="A8" s="4">
        <v>45997</v>
      </c>
      <c r="B8" s="5">
        <v>285</v>
      </c>
      <c r="C8" s="6">
        <f t="shared" si="0"/>
        <v>25.650000000000002</v>
      </c>
      <c r="D8" s="5">
        <v>798</v>
      </c>
      <c r="E8" s="6">
        <v>120</v>
      </c>
      <c r="F8" s="5">
        <v>200</v>
      </c>
      <c r="G8" s="7">
        <f t="shared" si="1"/>
        <v>345.65</v>
      </c>
    </row>
    <row r="9" spans="1:14" x14ac:dyDescent="0.2">
      <c r="A9" s="4">
        <v>45998</v>
      </c>
      <c r="B9" s="5">
        <v>995</v>
      </c>
      <c r="C9" s="6">
        <f t="shared" si="0"/>
        <v>89.550000000000011</v>
      </c>
      <c r="D9" s="5">
        <v>449</v>
      </c>
      <c r="E9" s="6">
        <v>60</v>
      </c>
      <c r="F9" s="5">
        <v>200</v>
      </c>
      <c r="G9" s="7">
        <f t="shared" si="1"/>
        <v>349.55</v>
      </c>
      <c r="H9">
        <v>300</v>
      </c>
      <c r="K9">
        <v>345</v>
      </c>
    </row>
    <row r="10" spans="1:14" x14ac:dyDescent="0.2">
      <c r="A10" s="4">
        <v>45999</v>
      </c>
      <c r="B10" s="5"/>
      <c r="C10" s="6">
        <f t="shared" si="0"/>
        <v>0</v>
      </c>
      <c r="D10" s="5"/>
      <c r="E10" s="6"/>
      <c r="F10" s="5"/>
      <c r="G10" s="7">
        <f t="shared" si="1"/>
        <v>0</v>
      </c>
      <c r="K10">
        <v>349</v>
      </c>
    </row>
    <row r="11" spans="1:14" x14ac:dyDescent="0.2">
      <c r="A11" s="4">
        <v>46000</v>
      </c>
      <c r="B11" s="5">
        <v>535</v>
      </c>
      <c r="C11" s="6">
        <f t="shared" si="0"/>
        <v>48.150000000000006</v>
      </c>
      <c r="D11" s="5">
        <v>200</v>
      </c>
      <c r="E11" s="6">
        <v>30</v>
      </c>
      <c r="F11" s="5">
        <v>200</v>
      </c>
      <c r="G11" s="7">
        <f t="shared" si="1"/>
        <v>278.14999999999998</v>
      </c>
      <c r="H11">
        <v>200</v>
      </c>
      <c r="K11">
        <v>278</v>
      </c>
    </row>
    <row r="12" spans="1:14" x14ac:dyDescent="0.2">
      <c r="A12" s="4">
        <v>46001</v>
      </c>
      <c r="B12" s="5"/>
      <c r="C12" s="6">
        <f t="shared" si="0"/>
        <v>0</v>
      </c>
      <c r="D12" s="5"/>
      <c r="E12" s="6"/>
      <c r="F12" s="5"/>
      <c r="G12" s="7">
        <f t="shared" si="1"/>
        <v>0</v>
      </c>
      <c r="K12">
        <v>323</v>
      </c>
    </row>
    <row r="13" spans="1:14" x14ac:dyDescent="0.2">
      <c r="A13" s="4">
        <v>46002</v>
      </c>
      <c r="B13" s="5">
        <v>1035</v>
      </c>
      <c r="C13" s="6">
        <f t="shared" si="0"/>
        <v>93.15</v>
      </c>
      <c r="D13" s="5">
        <v>200</v>
      </c>
      <c r="E13" s="6">
        <v>30</v>
      </c>
      <c r="F13" s="5">
        <v>200</v>
      </c>
      <c r="G13" s="7">
        <f t="shared" si="1"/>
        <v>323.14999999999998</v>
      </c>
      <c r="K13">
        <v>255</v>
      </c>
      <c r="L13" t="s">
        <v>14</v>
      </c>
      <c r="M13" t="s">
        <v>81</v>
      </c>
    </row>
    <row r="14" spans="1:14" x14ac:dyDescent="0.2">
      <c r="A14" s="10">
        <v>46003</v>
      </c>
      <c r="B14" s="11">
        <v>617</v>
      </c>
      <c r="C14" s="11">
        <f t="shared" si="0"/>
        <v>55.530000000000008</v>
      </c>
      <c r="D14" s="11"/>
      <c r="E14" s="11"/>
      <c r="F14" s="11">
        <v>200</v>
      </c>
      <c r="G14" s="11">
        <f t="shared" si="1"/>
        <v>255.53</v>
      </c>
      <c r="H14">
        <v>100</v>
      </c>
      <c r="K14" s="9">
        <f>SUM(K8:K13)</f>
        <v>1550</v>
      </c>
      <c r="L14">
        <v>600</v>
      </c>
      <c r="M14" s="9">
        <v>950</v>
      </c>
      <c r="N14" t="s">
        <v>83</v>
      </c>
    </row>
    <row r="15" spans="1:14" x14ac:dyDescent="0.2">
      <c r="A15" s="4">
        <v>46004</v>
      </c>
      <c r="B15" s="5">
        <v>1465</v>
      </c>
      <c r="C15" s="6">
        <f>(B15*0.9*0.1)</f>
        <v>131.85</v>
      </c>
      <c r="D15" s="5"/>
      <c r="E15" s="6"/>
      <c r="F15" s="5">
        <v>200</v>
      </c>
      <c r="G15" s="7">
        <f t="shared" si="1"/>
        <v>331.85</v>
      </c>
    </row>
    <row r="16" spans="1:14" x14ac:dyDescent="0.2">
      <c r="A16" s="4">
        <v>46005</v>
      </c>
      <c r="B16" s="5">
        <v>545</v>
      </c>
      <c r="C16" s="6">
        <f t="shared" si="0"/>
        <v>49.050000000000004</v>
      </c>
      <c r="D16" s="5">
        <v>200</v>
      </c>
      <c r="E16" s="6">
        <v>40</v>
      </c>
      <c r="F16" s="5">
        <v>200</v>
      </c>
      <c r="G16" s="7">
        <f t="shared" si="1"/>
        <v>289.05</v>
      </c>
      <c r="H16">
        <v>200</v>
      </c>
      <c r="J16">
        <v>331</v>
      </c>
    </row>
    <row r="17" spans="1:15" x14ac:dyDescent="0.2">
      <c r="A17" s="4">
        <v>46006</v>
      </c>
      <c r="B17" s="5">
        <v>459</v>
      </c>
      <c r="C17" s="6">
        <f t="shared" si="0"/>
        <v>41.31</v>
      </c>
      <c r="D17" s="5"/>
      <c r="E17" s="6"/>
      <c r="F17" s="5">
        <v>200</v>
      </c>
      <c r="G17" s="7">
        <f t="shared" si="1"/>
        <v>241.31</v>
      </c>
      <c r="J17">
        <v>289</v>
      </c>
    </row>
    <row r="18" spans="1:15" x14ac:dyDescent="0.2">
      <c r="A18" s="4">
        <v>46007</v>
      </c>
      <c r="B18" s="5"/>
      <c r="C18" s="6">
        <f t="shared" si="0"/>
        <v>0</v>
      </c>
      <c r="D18" s="5"/>
      <c r="E18" s="6"/>
      <c r="F18" s="5"/>
      <c r="G18" s="7">
        <f t="shared" si="1"/>
        <v>0</v>
      </c>
      <c r="J18">
        <v>241</v>
      </c>
    </row>
    <row r="19" spans="1:15" x14ac:dyDescent="0.2">
      <c r="A19" s="4">
        <v>46008</v>
      </c>
      <c r="B19" s="5">
        <v>1210</v>
      </c>
      <c r="C19" s="6">
        <f t="shared" si="0"/>
        <v>108.9</v>
      </c>
      <c r="D19" s="5"/>
      <c r="E19" s="6"/>
      <c r="F19" s="5">
        <v>200</v>
      </c>
      <c r="G19" s="7">
        <f t="shared" si="1"/>
        <v>308.89999999999998</v>
      </c>
      <c r="J19">
        <v>308</v>
      </c>
      <c r="L19" s="12"/>
    </row>
    <row r="20" spans="1:15" x14ac:dyDescent="0.2">
      <c r="A20" s="4">
        <v>46009</v>
      </c>
      <c r="B20" s="5">
        <v>1610</v>
      </c>
      <c r="C20" s="6">
        <f t="shared" si="0"/>
        <v>144.9</v>
      </c>
      <c r="D20" s="5"/>
      <c r="E20" s="6"/>
      <c r="F20" s="5">
        <v>200</v>
      </c>
      <c r="G20" s="7">
        <f t="shared" si="1"/>
        <v>344.9</v>
      </c>
      <c r="H20">
        <v>200</v>
      </c>
      <c r="J20">
        <v>344</v>
      </c>
    </row>
    <row r="21" spans="1:15" x14ac:dyDescent="0.2">
      <c r="A21" s="10">
        <v>46010</v>
      </c>
      <c r="B21" s="11">
        <v>249</v>
      </c>
      <c r="C21" s="11">
        <f t="shared" si="0"/>
        <v>22.41</v>
      </c>
      <c r="D21" s="11">
        <v>150</v>
      </c>
      <c r="E21" s="11"/>
      <c r="F21" s="11">
        <v>200</v>
      </c>
      <c r="G21" s="11">
        <f t="shared" si="1"/>
        <v>222.41</v>
      </c>
      <c r="J21">
        <v>222</v>
      </c>
      <c r="K21" t="s">
        <v>78</v>
      </c>
      <c r="L21" t="s">
        <v>128</v>
      </c>
    </row>
    <row r="22" spans="1:15" x14ac:dyDescent="0.2">
      <c r="A22" s="4">
        <v>46011</v>
      </c>
      <c r="B22" s="5">
        <v>1604</v>
      </c>
      <c r="C22" s="6">
        <f t="shared" si="0"/>
        <v>144.36000000000001</v>
      </c>
      <c r="D22" s="5"/>
      <c r="E22" s="6"/>
      <c r="F22" s="5">
        <v>200</v>
      </c>
      <c r="G22" s="7">
        <f t="shared" si="1"/>
        <v>344.36</v>
      </c>
      <c r="J22">
        <f>SUM(J14:J21)</f>
        <v>1735</v>
      </c>
      <c r="K22">
        <v>500</v>
      </c>
      <c r="L22">
        <v>1235</v>
      </c>
    </row>
    <row r="23" spans="1:15" x14ac:dyDescent="0.2">
      <c r="A23" s="4">
        <v>46012</v>
      </c>
      <c r="B23" s="5">
        <v>1287</v>
      </c>
      <c r="C23" s="6">
        <f t="shared" si="0"/>
        <v>115.83</v>
      </c>
      <c r="D23" s="5"/>
      <c r="E23" s="6"/>
      <c r="F23" s="5">
        <v>200</v>
      </c>
      <c r="G23" s="7">
        <f t="shared" si="1"/>
        <v>315.83</v>
      </c>
      <c r="H23" t="s">
        <v>139</v>
      </c>
      <c r="I23" s="17">
        <v>46011</v>
      </c>
      <c r="J23">
        <v>344</v>
      </c>
      <c r="N23" t="s">
        <v>186</v>
      </c>
    </row>
    <row r="24" spans="1:15" x14ac:dyDescent="0.2">
      <c r="A24" s="4">
        <v>46013</v>
      </c>
      <c r="B24" s="5">
        <v>1955</v>
      </c>
      <c r="C24" s="6">
        <f t="shared" si="0"/>
        <v>175.95000000000002</v>
      </c>
      <c r="D24" s="5"/>
      <c r="E24" s="6"/>
      <c r="F24" s="5">
        <v>200</v>
      </c>
      <c r="G24" s="7">
        <f t="shared" si="1"/>
        <v>375.95000000000005</v>
      </c>
      <c r="I24" s="17">
        <v>46012</v>
      </c>
      <c r="J24">
        <v>315</v>
      </c>
      <c r="N24" s="17">
        <v>46017</v>
      </c>
      <c r="O24">
        <v>-200</v>
      </c>
    </row>
    <row r="25" spans="1:15" x14ac:dyDescent="0.2">
      <c r="A25" s="4">
        <v>46014</v>
      </c>
      <c r="B25" s="5">
        <v>1050</v>
      </c>
      <c r="C25" s="6">
        <f t="shared" si="0"/>
        <v>94.5</v>
      </c>
      <c r="D25" s="5"/>
      <c r="E25" s="6"/>
      <c r="F25" s="5">
        <v>200</v>
      </c>
      <c r="G25" s="7">
        <f t="shared" si="1"/>
        <v>294.5</v>
      </c>
      <c r="I25" s="17">
        <v>46013</v>
      </c>
      <c r="J25">
        <v>375</v>
      </c>
    </row>
    <row r="26" spans="1:15" x14ac:dyDescent="0.2">
      <c r="A26" s="4">
        <v>46015</v>
      </c>
      <c r="B26" s="5">
        <v>779</v>
      </c>
      <c r="C26" s="6">
        <f>(B26*0.9*0.1)</f>
        <v>70.11</v>
      </c>
      <c r="D26" s="5"/>
      <c r="E26" s="6"/>
      <c r="F26" s="5">
        <v>200</v>
      </c>
      <c r="G26" s="7">
        <f t="shared" si="1"/>
        <v>270.11</v>
      </c>
      <c r="I26" s="17">
        <v>46014</v>
      </c>
      <c r="J26">
        <v>294</v>
      </c>
    </row>
    <row r="27" spans="1:15" x14ac:dyDescent="0.2">
      <c r="A27" s="4">
        <v>46016</v>
      </c>
      <c r="B27" s="5"/>
      <c r="C27" s="6">
        <f>(B27*0.9*0.1)</f>
        <v>0</v>
      </c>
      <c r="D27" s="5"/>
      <c r="E27" s="6"/>
      <c r="F27" s="5"/>
      <c r="G27" s="7">
        <f t="shared" si="1"/>
        <v>0</v>
      </c>
      <c r="I27" s="17">
        <v>46015</v>
      </c>
      <c r="J27">
        <v>270</v>
      </c>
      <c r="K27" t="s">
        <v>182</v>
      </c>
    </row>
    <row r="28" spans="1:15" x14ac:dyDescent="0.2">
      <c r="A28" s="10">
        <v>46017</v>
      </c>
      <c r="B28" s="11">
        <v>2130</v>
      </c>
      <c r="C28" s="11">
        <f>(B28*0.8*0.1)</f>
        <v>170.4</v>
      </c>
      <c r="D28" s="11"/>
      <c r="E28" s="11"/>
      <c r="F28" s="11">
        <v>200</v>
      </c>
      <c r="G28" s="11">
        <f t="shared" si="1"/>
        <v>370.4</v>
      </c>
      <c r="I28" s="17">
        <v>46017</v>
      </c>
      <c r="J28">
        <v>370</v>
      </c>
      <c r="K28" t="s">
        <v>81</v>
      </c>
    </row>
    <row r="29" spans="1:15" x14ac:dyDescent="0.2">
      <c r="A29" s="4">
        <v>46018</v>
      </c>
      <c r="B29" s="5"/>
      <c r="C29" s="6">
        <f t="shared" si="0"/>
        <v>0</v>
      </c>
      <c r="D29" s="5"/>
      <c r="E29" s="6"/>
      <c r="F29" s="5"/>
      <c r="G29" s="7">
        <f t="shared" si="1"/>
        <v>0</v>
      </c>
      <c r="J29" s="9">
        <f>SUM(J23:J28)</f>
        <v>1968</v>
      </c>
      <c r="K29" s="9">
        <v>1768</v>
      </c>
      <c r="L29">
        <v>1568</v>
      </c>
    </row>
    <row r="30" spans="1:15" x14ac:dyDescent="0.2">
      <c r="A30" s="4">
        <v>46019</v>
      </c>
      <c r="B30" s="5"/>
      <c r="C30" s="6">
        <f t="shared" si="0"/>
        <v>0</v>
      </c>
      <c r="D30" s="5"/>
      <c r="E30" s="6"/>
      <c r="F30" s="5"/>
      <c r="G30" s="7">
        <f t="shared" si="1"/>
        <v>0</v>
      </c>
    </row>
    <row r="31" spans="1:15" x14ac:dyDescent="0.2">
      <c r="A31" s="4">
        <v>46020</v>
      </c>
      <c r="B31" s="5"/>
      <c r="C31" s="6">
        <f t="shared" si="0"/>
        <v>0</v>
      </c>
      <c r="D31" s="5"/>
      <c r="E31" s="6"/>
      <c r="F31" s="5"/>
      <c r="G31" s="7">
        <f t="shared" si="1"/>
        <v>0</v>
      </c>
    </row>
    <row r="32" spans="1:15" x14ac:dyDescent="0.2">
      <c r="A32" s="4">
        <v>46021</v>
      </c>
      <c r="B32" s="5"/>
      <c r="C32" s="6">
        <f t="shared" si="0"/>
        <v>0</v>
      </c>
      <c r="D32" s="5"/>
      <c r="E32" s="6"/>
      <c r="F32" s="5"/>
      <c r="G32" s="7">
        <f t="shared" si="1"/>
        <v>0</v>
      </c>
    </row>
    <row r="33" spans="1:7" x14ac:dyDescent="0.2">
      <c r="A33" s="4">
        <v>46022</v>
      </c>
      <c r="B33" s="5"/>
      <c r="C33" s="6">
        <f t="shared" si="0"/>
        <v>0</v>
      </c>
      <c r="D33" s="5"/>
      <c r="E33" s="6"/>
      <c r="F33" s="5"/>
      <c r="G33" s="7">
        <f t="shared" si="1"/>
        <v>0</v>
      </c>
    </row>
    <row r="34" spans="1:7" x14ac:dyDescent="0.2">
      <c r="A34" s="5" t="s">
        <v>6</v>
      </c>
      <c r="B34" s="5"/>
      <c r="C34" s="5"/>
      <c r="D34" s="5"/>
      <c r="E34" s="5"/>
      <c r="F34" s="5"/>
      <c r="G34" s="5"/>
    </row>
  </sheetData>
  <pageMargins left="0.7" right="0.7" top="0.75" bottom="0.75" header="0.3" footer="0.3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DA59-36B2-E344-B21B-3008B73BE869}">
  <dimension ref="A1"/>
  <sheetViews>
    <sheetView workbookViewId="0">
      <selection activeCell="E15" sqref="E15"/>
    </sheetView>
  </sheetViews>
  <sheetFormatPr baseColWidth="10" defaultRowHeight="16" x14ac:dyDescent="0.2"/>
  <sheetData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ETET</vt:lpstr>
      <vt:lpstr>ALBERT</vt:lpstr>
      <vt:lpstr>JEPOY</vt:lpstr>
      <vt:lpstr>SHA</vt:lpstr>
      <vt:lpstr>VIC</vt:lpstr>
      <vt:lpstr>AMY</vt:lpstr>
      <vt:lpstr>ZYKA</vt:lpstr>
      <vt:lpstr>JESS</vt:lpstr>
      <vt:lpstr>AGNES</vt:lpstr>
      <vt:lpstr>JANE</vt:lpstr>
      <vt:lpstr>MICH</vt:lpstr>
      <vt:lpstr>IKA</vt:lpstr>
      <vt:lpstr>CYRIL</vt:lpstr>
      <vt:lpstr>RONA</vt:lpstr>
      <vt:lpstr>December payslip</vt:lpstr>
      <vt:lpstr>INA</vt:lpstr>
      <vt:lpstr>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2025-12-27T03:08:45Z</cp:lastPrinted>
  <dcterms:created xsi:type="dcterms:W3CDTF">2025-12-06T02:51:36Z</dcterms:created>
  <dcterms:modified xsi:type="dcterms:W3CDTF">2026-01-11T03:04:37Z</dcterms:modified>
</cp:coreProperties>
</file>